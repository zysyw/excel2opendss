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powerloss_opendss\"/>
    </mc:Choice>
  </mc:AlternateContent>
  <xr:revisionPtr revIDLastSave="0" documentId="13_ncr:1_{5D081E8F-DFF6-46A2-B61C-6E906C7816C3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主页" sheetId="11" r:id="rId1"/>
    <sheet name="OpenDSS规则库" sheetId="14" r:id="rId2"/>
    <sheet name="参数库" sheetId="12" r:id="rId3"/>
    <sheet name="配电线路" sheetId="4" r:id="rId4"/>
    <sheet name="运行数据" sheetId="15" r:id="rId5"/>
    <sheet name="曲线" sheetId="3" r:id="rId6"/>
    <sheet name="计算结果" sheetId="13" r:id="rId7"/>
    <sheet name="Sheet6" sheetId="10" r:id="rId8"/>
  </sheets>
  <functionGroups builtInGroupCount="19"/>
  <definedNames>
    <definedName name="_xlnm._FilterDatabase" localSheetId="1" hidden="1">OpenDSS规则库!$M$1:$M$2</definedName>
    <definedName name="配电变压器数据表关键字">主页!$B$22</definedName>
    <definedName name="配电变压器数据页名称">主页!$B$21</definedName>
    <definedName name="配电变压器所需参数">主页!$23:$23</definedName>
    <definedName name="配电线路数据表关键字">主页!$B$16</definedName>
    <definedName name="配电线路数据页名称">主页!$B$15</definedName>
    <definedName name="配电线路所需参数">主页!$17:$17</definedName>
    <definedName name="平衡节点数据表关键字">主页!$B$4</definedName>
    <definedName name="平衡节点数据页名称">主页!$B$3</definedName>
    <definedName name="平衡节点所需参数">主页!$5:$5</definedName>
    <definedName name="线路型号数据表关键字">主页!$B$10</definedName>
    <definedName name="线路型号数据页名称">主页!$B$9</definedName>
    <definedName name="线路型号所需参数">主页!$11:$11</definedName>
  </definedNames>
  <calcPr calcId="181029"/>
</workbook>
</file>

<file path=xl/calcChain.xml><?xml version="1.0" encoding="utf-8"?>
<calcChain xmlns="http://schemas.openxmlformats.org/spreadsheetml/2006/main">
  <c r="J17" i="12" l="1"/>
  <c r="J18" i="12"/>
  <c r="J19" i="12"/>
  <c r="J16" i="12"/>
  <c r="I17" i="12"/>
  <c r="I18" i="12"/>
  <c r="I19" i="12"/>
  <c r="I16" i="12"/>
  <c r="D3" i="3" l="1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" i="3"/>
  <c r="B5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input_result" type="6" refreshedVersion="0" background="1">
    <textPr prompt="0" sourceFile="E:\distribution\LoadFlowforCSV2016.4.20\input_result.txt">
      <textFields>
        <textField/>
      </textFields>
    </textPr>
  </connection>
  <connection id="2" xr16:uid="{00000000-0015-0000-FFFF-FFFF01000000}" name="input_result1" type="6" refreshedVersion="0" background="1">
    <textPr prompt="0" sourceFile="E:\distribution\LoadFlowforCSV2016.4.20\input_result.txt">
      <textFields>
        <textField/>
      </textFields>
    </textPr>
  </connection>
  <connection id="3" xr16:uid="{00000000-0015-0000-FFFF-FFFF02000000}" name="LoadFlowforCSV2016.4.20input_result" type="6" refreshedVersion="0" background="1">
    <textPr prompt="0" sourceFile="E:\distribution\LoadFlowforCSV2016.4.20input_result.txt">
      <textFields>
        <textField/>
      </textFields>
    </textPr>
  </connection>
  <connection id="4" xr16:uid="{00000000-0015-0000-FFFF-FFFF03000000}" name="LoadFlowforCSV2016.4.20input_result1" type="6" refreshedVersion="0" background="1">
    <textPr prompt="0" sourceFile="E:\distribution\LoadFlowforCSV2016.4.20input_result.txt">
      <textFields>
        <textField/>
      </textFields>
    </textPr>
  </connection>
</connections>
</file>

<file path=xl/sharedStrings.xml><?xml version="1.0" encoding="utf-8"?>
<sst xmlns="http://schemas.openxmlformats.org/spreadsheetml/2006/main" count="522" uniqueCount="251">
  <si>
    <t>S9</t>
    <phoneticPr fontId="1" type="noConversion"/>
  </si>
  <si>
    <t>时间</t>
    <phoneticPr fontId="1" type="noConversion"/>
  </si>
  <si>
    <t>平衡节点</t>
    <phoneticPr fontId="3" type="noConversion"/>
  </si>
  <si>
    <t>全天</t>
    <phoneticPr fontId="3" type="noConversion"/>
  </si>
  <si>
    <t>无功电量表kVarh</t>
    <phoneticPr fontId="1" type="noConversion"/>
  </si>
  <si>
    <t>有功电量表kWh</t>
    <phoneticPr fontId="1" type="noConversion"/>
  </si>
  <si>
    <t>1号节点公变</t>
    <phoneticPr fontId="3" type="noConversion"/>
  </si>
  <si>
    <r>
      <t>2</t>
    </r>
    <r>
      <rPr>
        <sz val="11"/>
        <color indexed="10"/>
        <rFont val="宋体"/>
        <family val="3"/>
        <charset val="134"/>
      </rPr>
      <t>1号节点公变</t>
    </r>
    <phoneticPr fontId="3" type="noConversion"/>
  </si>
  <si>
    <t>22号节点公变</t>
    <phoneticPr fontId="3" type="noConversion"/>
  </si>
  <si>
    <t>3号节点公变</t>
    <phoneticPr fontId="3" type="noConversion"/>
  </si>
  <si>
    <t>元件名称</t>
  </si>
  <si>
    <t>元件类型</t>
  </si>
  <si>
    <t>头母线名</t>
  </si>
  <si>
    <t>尾母线名</t>
  </si>
  <si>
    <t>串联损耗</t>
  </si>
  <si>
    <t>并联损耗</t>
  </si>
  <si>
    <t>总损耗</t>
  </si>
  <si>
    <t>主干线1</t>
  </si>
  <si>
    <t>南昌变10kV母线</t>
  </si>
  <si>
    <t>1号节点</t>
  </si>
  <si>
    <t>主干线2</t>
  </si>
  <si>
    <t>2号节点</t>
  </si>
  <si>
    <t>主干线3</t>
  </si>
  <si>
    <t>3号节点</t>
  </si>
  <si>
    <t>分支线1</t>
  </si>
  <si>
    <t>21号节点</t>
  </si>
  <si>
    <t>分支线2</t>
  </si>
  <si>
    <t>22号节点</t>
  </si>
  <si>
    <t>3号节点公变</t>
  </si>
  <si>
    <t>3号节点公变低压侧</t>
  </si>
  <si>
    <t>22号节点公变</t>
  </si>
  <si>
    <t>22号节点公变低压侧</t>
  </si>
  <si>
    <t>21号节点公变</t>
  </si>
  <si>
    <t>21号节点公变低压侧</t>
  </si>
  <si>
    <t>1号节点公变</t>
  </si>
  <si>
    <t>1号节点公变低压侧</t>
  </si>
  <si>
    <t>平均电压</t>
  </si>
  <si>
    <t>平均电流</t>
  </si>
  <si>
    <t>导线损耗</t>
  </si>
  <si>
    <t>变压器铜损</t>
  </si>
  <si>
    <t>变压器铁损</t>
  </si>
  <si>
    <t>线路总损耗</t>
  </si>
  <si>
    <t>导线等值电阻</t>
  </si>
  <si>
    <t>变压器铜损等值电阻</t>
  </si>
  <si>
    <t>线路铜损等值电阻</t>
  </si>
  <si>
    <t>nc10kVbus</t>
    <phoneticPr fontId="1" type="noConversion"/>
  </si>
  <si>
    <t>bus1</t>
    <phoneticPr fontId="1" type="noConversion"/>
  </si>
  <si>
    <t>bus2</t>
    <phoneticPr fontId="1" type="noConversion"/>
  </si>
  <si>
    <t>bus3</t>
    <phoneticPr fontId="1" type="noConversion"/>
  </si>
  <si>
    <t>bus21</t>
    <phoneticPr fontId="1" type="noConversion"/>
  </si>
  <si>
    <t>bus22</t>
    <phoneticPr fontId="1" type="noConversion"/>
  </si>
  <si>
    <t>L1</t>
    <phoneticPr fontId="3" type="noConversion"/>
  </si>
  <si>
    <t>L2</t>
    <phoneticPr fontId="3" type="noConversion"/>
  </si>
  <si>
    <t>L3</t>
    <phoneticPr fontId="3" type="noConversion"/>
  </si>
  <si>
    <t>L4</t>
    <phoneticPr fontId="3" type="noConversion"/>
  </si>
  <si>
    <t>L5</t>
    <phoneticPr fontId="3" type="noConversion"/>
  </si>
  <si>
    <t>T1</t>
    <phoneticPr fontId="3" type="noConversion"/>
  </si>
  <si>
    <t>T21</t>
    <phoneticPr fontId="3" type="noConversion"/>
  </si>
  <si>
    <t>T22</t>
    <phoneticPr fontId="3" type="noConversion"/>
  </si>
  <si>
    <t>T3</t>
    <phoneticPr fontId="3" type="noConversion"/>
  </si>
  <si>
    <t>导线型号</t>
    <phoneticPr fontId="15" type="noConversion"/>
  </si>
  <si>
    <r>
      <t>电抗(</t>
    </r>
    <r>
      <rPr>
        <sz val="10.5"/>
        <rFont val="Calibri"/>
        <family val="2"/>
      </rPr>
      <t>Ω</t>
    </r>
    <r>
      <rPr>
        <sz val="10.5"/>
        <rFont val="宋体"/>
        <family val="3"/>
        <charset val="134"/>
      </rPr>
      <t>/</t>
    </r>
    <r>
      <rPr>
        <sz val="12"/>
        <rFont val="宋体"/>
        <family val="3"/>
        <charset val="134"/>
      </rPr>
      <t>km)</t>
    </r>
    <phoneticPr fontId="1" type="noConversion"/>
  </si>
  <si>
    <r>
      <t>电阻(</t>
    </r>
    <r>
      <rPr>
        <sz val="10.5"/>
        <rFont val="Calibri"/>
        <family val="3"/>
        <charset val="161"/>
      </rPr>
      <t>Ω</t>
    </r>
    <r>
      <rPr>
        <sz val="10.5"/>
        <rFont val="宋体"/>
        <family val="3"/>
        <charset val="134"/>
      </rPr>
      <t>/km)</t>
    </r>
    <phoneticPr fontId="1" type="noConversion"/>
  </si>
  <si>
    <t>线路型号</t>
    <phoneticPr fontId="1" type="noConversion"/>
  </si>
  <si>
    <t>变压器型号</t>
    <phoneticPr fontId="1" type="noConversion"/>
  </si>
  <si>
    <t>高压侧母线</t>
    <phoneticPr fontId="3" type="noConversion"/>
  </si>
  <si>
    <t>线段头母线</t>
    <phoneticPr fontId="3" type="noConversion"/>
  </si>
  <si>
    <t>线段尾母线</t>
    <phoneticPr fontId="3" type="noConversion"/>
  </si>
  <si>
    <t>低压侧母线</t>
    <phoneticPr fontId="3" type="noConversion"/>
  </si>
  <si>
    <t>高压侧额定电压(kV)</t>
    <phoneticPr fontId="1" type="noConversion"/>
  </si>
  <si>
    <t>低压侧额定电压(kV)</t>
    <phoneticPr fontId="1" type="noConversion"/>
  </si>
  <si>
    <t>短路电压百分比(%)</t>
    <phoneticPr fontId="1" type="noConversion"/>
  </si>
  <si>
    <t>空载电流百分比(%)</t>
    <phoneticPr fontId="1" type="noConversion"/>
  </si>
  <si>
    <t>线路长度(km)</t>
    <phoneticPr fontId="1" type="noConversion"/>
  </si>
  <si>
    <t>变压器容量(kVA)</t>
    <phoneticPr fontId="1" type="noConversion"/>
  </si>
  <si>
    <t>空载损耗(w)</t>
    <phoneticPr fontId="1" type="noConversion"/>
  </si>
  <si>
    <t>负载损耗(w)</t>
    <phoneticPr fontId="1" type="noConversion"/>
  </si>
  <si>
    <t>空载损耗(%)</t>
    <phoneticPr fontId="1" type="noConversion"/>
  </si>
  <si>
    <t>负载损耗(%)</t>
    <phoneticPr fontId="1" type="noConversion"/>
  </si>
  <si>
    <t>线段名称</t>
    <phoneticPr fontId="3" type="noConversion"/>
  </si>
  <si>
    <t>变压器名称</t>
    <phoneticPr fontId="3" type="noConversion"/>
  </si>
  <si>
    <t>有损电量kWh</t>
  </si>
  <si>
    <t>无损电量kWh</t>
  </si>
  <si>
    <t>发电电量kWh</t>
  </si>
  <si>
    <t>总损耗kWh</t>
  </si>
  <si>
    <t>负载损耗kWh</t>
  </si>
  <si>
    <t>空载损耗kWh</t>
  </si>
  <si>
    <t>线路损耗kWh</t>
  </si>
  <si>
    <t>变压器损耗kWh</t>
  </si>
  <si>
    <t>l1</t>
  </si>
  <si>
    <t>l2</t>
  </si>
  <si>
    <t>l3</t>
  </si>
  <si>
    <t>l4</t>
  </si>
  <si>
    <t>l5</t>
  </si>
  <si>
    <t>t1</t>
  </si>
  <si>
    <t>t3</t>
  </si>
  <si>
    <t>线段名称</t>
  </si>
  <si>
    <t>线段头母线</t>
  </si>
  <si>
    <t>线段尾母线</t>
  </si>
  <si>
    <t>nc10kVbus</t>
  </si>
  <si>
    <t>bus1</t>
  </si>
  <si>
    <t>bus2</t>
  </si>
  <si>
    <t>bus3</t>
  </si>
  <si>
    <t>bus21</t>
  </si>
  <si>
    <t>bus22</t>
  </si>
  <si>
    <t>高压侧母线</t>
  </si>
  <si>
    <t>低压侧母线</t>
  </si>
  <si>
    <t>T1</t>
  </si>
  <si>
    <t>T3</t>
  </si>
  <si>
    <t>变压器名称</t>
  </si>
  <si>
    <t>t22</t>
  </si>
  <si>
    <t>T22</t>
  </si>
  <si>
    <t>所需参数</t>
    <phoneticPr fontId="15" type="noConversion"/>
  </si>
  <si>
    <t>线路型号输入表</t>
    <phoneticPr fontId="15" type="noConversion"/>
  </si>
  <si>
    <t>参数库</t>
    <phoneticPr fontId="15" type="noConversion"/>
  </si>
  <si>
    <t>数据页名称</t>
    <phoneticPr fontId="15" type="noConversion"/>
  </si>
  <si>
    <t>配电线路输入表</t>
    <phoneticPr fontId="15" type="noConversion"/>
  </si>
  <si>
    <t>线路型号</t>
  </si>
  <si>
    <t>线路长度(km)</t>
  </si>
  <si>
    <t>配电线路</t>
    <phoneticPr fontId="15" type="noConversion"/>
  </si>
  <si>
    <t>数据表关键字</t>
    <phoneticPr fontId="15" type="noConversion"/>
  </si>
  <si>
    <t>配电变压器输入表</t>
    <phoneticPr fontId="15" type="noConversion"/>
  </si>
  <si>
    <t>变压器容量(kVA)</t>
  </si>
  <si>
    <t>高压侧额定电压(kV)</t>
  </si>
  <si>
    <t>低压侧额定电压(kV)</t>
  </si>
  <si>
    <t>短路电压百分比(%)</t>
  </si>
  <si>
    <t>空载电流百分比(%)</t>
  </si>
  <si>
    <t>是否专变</t>
  </si>
  <si>
    <t>空载损耗(%)</t>
  </si>
  <si>
    <t>负载损耗(%)</t>
  </si>
  <si>
    <t>平衡节点输入表</t>
    <phoneticPr fontId="15" type="noConversion"/>
  </si>
  <si>
    <t>平衡节点</t>
    <phoneticPr fontId="15" type="noConversion"/>
  </si>
  <si>
    <t>LoadShape</t>
    <phoneticPr fontId="15" type="noConversion"/>
  </si>
  <si>
    <t>R1</t>
    <phoneticPr fontId="15" type="noConversion"/>
  </si>
  <si>
    <t>X1</t>
    <phoneticPr fontId="15" type="noConversion"/>
  </si>
  <si>
    <t>.</t>
    <phoneticPr fontId="15" type="noConversion"/>
  </si>
  <si>
    <t>=</t>
    <phoneticPr fontId="15" type="noConversion"/>
  </si>
  <si>
    <t>OpenDSS单元名称</t>
    <phoneticPr fontId="15" type="noConversion"/>
  </si>
  <si>
    <t>OpenDSS操作符</t>
    <phoneticPr fontId="15" type="noConversion"/>
  </si>
  <si>
    <t>OpenDSS左限定符</t>
    <phoneticPr fontId="15" type="noConversion"/>
  </si>
  <si>
    <t>OpenDSS右限定符</t>
    <phoneticPr fontId="15" type="noConversion"/>
  </si>
  <si>
    <t>规则定义</t>
    <phoneticPr fontId="15" type="noConversion"/>
  </si>
  <si>
    <t>OpenDSS关联单元</t>
    <phoneticPr fontId="15" type="noConversion"/>
  </si>
  <si>
    <t>单位电阻(Ω/km)</t>
  </si>
  <si>
    <t>单位电抗(Ω/km)</t>
  </si>
  <si>
    <t>bus1</t>
    <phoneticPr fontId="15" type="noConversion"/>
  </si>
  <si>
    <t>Length</t>
  </si>
  <si>
    <t>Line</t>
    <phoneticPr fontId="15" type="noConversion"/>
  </si>
  <si>
    <t>线路对象</t>
    <phoneticPr fontId="15" type="noConversion"/>
  </si>
  <si>
    <t>变压器对象</t>
    <phoneticPr fontId="15" type="noConversion"/>
  </si>
  <si>
    <t>Transformer</t>
  </si>
  <si>
    <t>变压器型号</t>
  </si>
  <si>
    <t>空载损耗(w)</t>
  </si>
  <si>
    <t>负载损耗(w)</t>
  </si>
  <si>
    <t>最大档位</t>
  </si>
  <si>
    <t>最小档位</t>
  </si>
  <si>
    <t>档位数量</t>
  </si>
  <si>
    <t>Buses</t>
    <phoneticPr fontId="15" type="noConversion"/>
  </si>
  <si>
    <t>(</t>
    <phoneticPr fontId="15" type="noConversion"/>
  </si>
  <si>
    <t>)</t>
    <phoneticPr fontId="15" type="noConversion"/>
  </si>
  <si>
    <t>KVAs</t>
    <phoneticPr fontId="15" type="noConversion"/>
  </si>
  <si>
    <t>KVs</t>
    <phoneticPr fontId="15" type="noConversion"/>
  </si>
  <si>
    <t>XHL</t>
    <phoneticPr fontId="15" type="noConversion"/>
  </si>
  <si>
    <t>%noloadloss</t>
    <phoneticPr fontId="15" type="noConversion"/>
  </si>
  <si>
    <t>%loadloss</t>
    <phoneticPr fontId="15" type="noConversion"/>
  </si>
  <si>
    <t>%imag</t>
    <phoneticPr fontId="15" type="noConversion"/>
  </si>
  <si>
    <t>MaxTap</t>
    <phoneticPr fontId="15" type="noConversion"/>
  </si>
  <si>
    <t>MinTap</t>
    <phoneticPr fontId="15" type="noConversion"/>
  </si>
  <si>
    <t>NumTaps</t>
    <phoneticPr fontId="15" type="noConversion"/>
  </si>
  <si>
    <t>负荷曲线对象</t>
    <phoneticPr fontId="15" type="noConversion"/>
  </si>
  <si>
    <t>LineCode</t>
    <phoneticPr fontId="15" type="noConversion"/>
  </si>
  <si>
    <t>时间</t>
    <phoneticPr fontId="15" type="noConversion"/>
  </si>
  <si>
    <t>有功功率(kW)</t>
    <phoneticPr fontId="1" type="noConversion"/>
  </si>
  <si>
    <t>无功功率(kvar)</t>
    <phoneticPr fontId="1" type="noConversion"/>
  </si>
  <si>
    <t>pmult</t>
    <phoneticPr fontId="15" type="noConversion"/>
  </si>
  <si>
    <t>qmult</t>
    <phoneticPr fontId="15" type="noConversion"/>
  </si>
  <si>
    <t>负荷曲线名称</t>
  </si>
  <si>
    <t>负荷曲线名称</t>
    <phoneticPr fontId="1" type="noConversion"/>
  </si>
  <si>
    <t>有功基准(kW)</t>
    <phoneticPr fontId="1" type="noConversion"/>
  </si>
  <si>
    <t>无功基准(kvar)</t>
    <phoneticPr fontId="1" type="noConversion"/>
  </si>
  <si>
    <t>pbase</t>
    <phoneticPr fontId="15" type="noConversion"/>
  </si>
  <si>
    <t>qbase</t>
    <phoneticPr fontId="15" type="noConversion"/>
  </si>
  <si>
    <t>动作</t>
    <phoneticPr fontId="15" type="noConversion"/>
  </si>
  <si>
    <t>Action</t>
    <phoneticPr fontId="15" type="noConversion"/>
  </si>
  <si>
    <t>电压曲线对象</t>
    <phoneticPr fontId="15" type="noConversion"/>
  </si>
  <si>
    <t>电压(kW)</t>
    <phoneticPr fontId="1" type="noConversion"/>
  </si>
  <si>
    <t>电压基准(kV)</t>
    <phoneticPr fontId="1" type="noConversion"/>
  </si>
  <si>
    <t>电压(kV)</t>
    <phoneticPr fontId="1" type="noConversion"/>
  </si>
  <si>
    <t>电压曲线名称</t>
    <phoneticPr fontId="1" type="noConversion"/>
  </si>
  <si>
    <t>负荷对象</t>
    <phoneticPr fontId="15" type="noConversion"/>
  </si>
  <si>
    <t>Load</t>
    <phoneticPr fontId="15" type="noConversion"/>
  </si>
  <si>
    <t>负荷名称</t>
    <phoneticPr fontId="1" type="noConversion"/>
  </si>
  <si>
    <t>额定电压(kV)</t>
    <phoneticPr fontId="1" type="noConversion"/>
  </si>
  <si>
    <t>Kv</t>
    <phoneticPr fontId="15" type="noConversion"/>
  </si>
  <si>
    <t>额定有功(kW)</t>
    <phoneticPr fontId="15" type="noConversion"/>
  </si>
  <si>
    <t>Kw</t>
    <phoneticPr fontId="15" type="noConversion"/>
  </si>
  <si>
    <t>功率因数</t>
    <phoneticPr fontId="15" type="noConversion"/>
  </si>
  <si>
    <t>Pf</t>
    <phoneticPr fontId="15" type="noConversion"/>
  </si>
  <si>
    <t>额定无功(kvar)</t>
    <phoneticPr fontId="15" type="noConversion"/>
  </si>
  <si>
    <t>kvar</t>
    <phoneticPr fontId="15" type="noConversion"/>
  </si>
  <si>
    <t>日负荷曲线</t>
    <phoneticPr fontId="15" type="noConversion"/>
  </si>
  <si>
    <t>Daily</t>
    <phoneticPr fontId="15" type="noConversion"/>
  </si>
  <si>
    <t>发电机对象</t>
    <phoneticPr fontId="15" type="noConversion"/>
  </si>
  <si>
    <t>Generator</t>
    <phoneticPr fontId="15" type="noConversion"/>
  </si>
  <si>
    <t>发电机名称</t>
    <phoneticPr fontId="1" type="noConversion"/>
  </si>
  <si>
    <t>发电机模型</t>
    <phoneticPr fontId="15" type="noConversion"/>
  </si>
  <si>
    <t>Model</t>
    <phoneticPr fontId="15" type="noConversion"/>
  </si>
  <si>
    <t>电压曲线名称</t>
    <phoneticPr fontId="3" type="noConversion"/>
  </si>
  <si>
    <t>负荷曲线名称</t>
    <phoneticPr fontId="3" type="noConversion"/>
  </si>
  <si>
    <t>Sum</t>
    <phoneticPr fontId="3" type="noConversion"/>
  </si>
  <si>
    <t>Voltage</t>
    <phoneticPr fontId="3" type="noConversion"/>
  </si>
  <si>
    <t>电压(kV)</t>
    <phoneticPr fontId="3" type="noConversion"/>
  </si>
  <si>
    <t>有功功率(kW)</t>
    <phoneticPr fontId="3" type="noConversion"/>
  </si>
  <si>
    <t>无功功率(kvar)</t>
    <phoneticPr fontId="3" type="noConversion"/>
  </si>
  <si>
    <t>是否需要检查空数据</t>
    <phoneticPr fontId="15" type="noConversion"/>
  </si>
  <si>
    <t>是</t>
    <phoneticPr fontId="15" type="noConversion"/>
  </si>
  <si>
    <t>负荷曲线输入表</t>
    <phoneticPr fontId="15" type="noConversion"/>
  </si>
  <si>
    <t>运行数据</t>
    <phoneticPr fontId="15" type="noConversion"/>
  </si>
  <si>
    <t>电压曲线输入表</t>
    <phoneticPr fontId="15" type="noConversion"/>
  </si>
  <si>
    <t>电压曲线名称</t>
    <phoneticPr fontId="15" type="noConversion"/>
  </si>
  <si>
    <t>发电机输入表</t>
    <phoneticPr fontId="15" type="noConversion"/>
  </si>
  <si>
    <t>发电机名称</t>
    <phoneticPr fontId="15" type="noConversion"/>
  </si>
  <si>
    <t>线路型号对象1</t>
    <phoneticPr fontId="15" type="noConversion"/>
  </si>
  <si>
    <t>节点名称</t>
    <phoneticPr fontId="1" type="noConversion"/>
  </si>
  <si>
    <t>LGJ-16</t>
  </si>
  <si>
    <t>LGJ-25</t>
  </si>
  <si>
    <t>LGJ-35</t>
  </si>
  <si>
    <t>LGJ-50</t>
  </si>
  <si>
    <t>LGJ-70</t>
  </si>
  <si>
    <t>LGJ-95</t>
  </si>
  <si>
    <t>LGJ-120</t>
  </si>
  <si>
    <t>LGJ-150</t>
  </si>
  <si>
    <t>LGJ-185</t>
  </si>
  <si>
    <t>LGJ-240</t>
  </si>
  <si>
    <t>LGJ-300</t>
  </si>
  <si>
    <t>LGJ-400</t>
  </si>
  <si>
    <t>导线型号</t>
    <phoneticPr fontId="1" type="noConversion"/>
  </si>
  <si>
    <t>S9-50</t>
    <phoneticPr fontId="1" type="noConversion"/>
  </si>
  <si>
    <t>S9-100</t>
    <phoneticPr fontId="1" type="noConversion"/>
  </si>
  <si>
    <t>S9-200</t>
    <phoneticPr fontId="1" type="noConversion"/>
  </si>
  <si>
    <t>S9-160</t>
    <phoneticPr fontId="1" type="noConversion"/>
  </si>
  <si>
    <t>负荷名称</t>
    <phoneticPr fontId="3" type="noConversion"/>
  </si>
  <si>
    <t>负荷母线</t>
    <phoneticPr fontId="3" type="noConversion"/>
  </si>
  <si>
    <t>有功负荷(kW)</t>
    <phoneticPr fontId="1" type="noConversion"/>
  </si>
  <si>
    <t>无功负荷(kVar)</t>
    <phoneticPr fontId="1" type="noConversion"/>
  </si>
  <si>
    <t>短路电压百分比(%)</t>
    <phoneticPr fontId="15" type="noConversion"/>
  </si>
  <si>
    <t>空载电流百分比(%)</t>
    <phoneticPr fontId="15" type="noConversion"/>
  </si>
  <si>
    <t>空载损耗(%)</t>
    <phoneticPr fontId="15" type="noConversion"/>
  </si>
  <si>
    <t>负载损耗(%)</t>
    <phoneticPr fontId="15" type="noConversion"/>
  </si>
  <si>
    <t>变压器类型</t>
    <phoneticPr fontId="1" type="noConversion"/>
  </si>
  <si>
    <t>LGJ-70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</si>
</sst>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0_ "/>
  </numFmts>
  <fonts count="20" x14ac:knownFonts="1"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indexed="10"/>
      <name val="宋体"/>
      <family val="3"/>
      <charset val="134"/>
    </font>
    <font>
      <sz val="9"/>
      <name val="宋体"/>
      <family val="3"/>
      <charset val="134"/>
    </font>
    <font>
      <sz val="11"/>
      <name val="宋体"/>
      <family val="3"/>
      <charset val="134"/>
    </font>
    <font>
      <sz val="10.5"/>
      <name val="宋体"/>
      <family val="3"/>
      <charset val="134"/>
    </font>
    <font>
      <sz val="12"/>
      <name val="宋体"/>
      <family val="3"/>
      <charset val="134"/>
    </font>
    <font>
      <sz val="11"/>
      <color indexed="10"/>
      <name val="宋体"/>
      <family val="3"/>
      <charset val="134"/>
    </font>
    <font>
      <sz val="9"/>
      <name val="宋体"/>
      <family val="3"/>
      <charset val="134"/>
    </font>
    <font>
      <sz val="11"/>
      <color rgb="FFFF000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</font>
    <font>
      <b/>
      <sz val="14"/>
      <color rgb="FFFF0000"/>
      <name val="宋体"/>
      <family val="3"/>
      <charset val="134"/>
      <scheme val="minor"/>
    </font>
    <font>
      <b/>
      <sz val="14"/>
      <color theme="1"/>
      <name val="宋体"/>
      <family val="3"/>
      <charset val="134"/>
      <scheme val="minor"/>
    </font>
    <font>
      <b/>
      <sz val="18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.5"/>
      <name val="Calibri"/>
      <family val="2"/>
    </font>
    <font>
      <sz val="10.5"/>
      <name val="Calibri"/>
      <family val="3"/>
      <charset val="161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28">
    <xf numFmtId="0" fontId="0" fillId="0" borderId="0" xfId="0">
      <alignment vertical="center"/>
    </xf>
    <xf numFmtId="0" fontId="10" fillId="0" borderId="0" xfId="0" applyFont="1">
      <alignment vertical="center"/>
    </xf>
    <xf numFmtId="176" fontId="4" fillId="2" borderId="1" xfId="0" applyNumberFormat="1" applyFont="1" applyFill="1" applyBorder="1" applyAlignment="1">
      <alignment horizontal="center" vertical="center" wrapText="1"/>
    </xf>
    <xf numFmtId="176" fontId="4" fillId="3" borderId="1" xfId="0" applyNumberFormat="1" applyFont="1" applyFill="1" applyBorder="1" applyAlignment="1">
      <alignment horizontal="center" vertical="center" wrapText="1"/>
    </xf>
    <xf numFmtId="0" fontId="9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14" fillId="0" borderId="0" xfId="0" applyFont="1" applyAlignment="1">
      <alignment vertical="center" wrapText="1"/>
    </xf>
    <xf numFmtId="21" fontId="0" fillId="0" borderId="1" xfId="0" applyNumberFormat="1" applyBorder="1">
      <alignment vertical="center"/>
    </xf>
    <xf numFmtId="21" fontId="0" fillId="0" borderId="0" xfId="0" applyNumberFormat="1">
      <alignment vertical="center"/>
    </xf>
    <xf numFmtId="0" fontId="13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0" xfId="0" applyNumberFormat="1">
      <alignment vertical="center"/>
    </xf>
    <xf numFmtId="0" fontId="5" fillId="0" borderId="0" xfId="1" applyFont="1" applyAlignment="1">
      <alignment horizontal="center" vertical="center" wrapText="1"/>
    </xf>
    <xf numFmtId="0" fontId="5" fillId="0" borderId="0" xfId="1" applyFont="1" applyAlignment="1">
      <alignment horizontal="center" vertical="top" wrapText="1"/>
    </xf>
    <xf numFmtId="0" fontId="0" fillId="2" borderId="1" xfId="0" applyFill="1" applyBorder="1">
      <alignment vertical="center"/>
    </xf>
    <xf numFmtId="2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5" fillId="0" borderId="0" xfId="1" applyFont="1" applyAlignment="1">
      <alignment horizontal="left" vertical="center" wrapText="1"/>
    </xf>
    <xf numFmtId="0" fontId="0" fillId="0" borderId="0" xfId="0" quotePrefix="1">
      <alignment vertical="center"/>
    </xf>
    <xf numFmtId="0" fontId="0" fillId="0" borderId="0" xfId="0" applyAlignment="1">
      <alignment horizontal="left" vertical="center"/>
    </xf>
    <xf numFmtId="21" fontId="19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</cellXfs>
  <cellStyles count="2">
    <cellStyle name="常规" xfId="0" builtinId="0"/>
    <cellStyle name="常规_配电导线单位电阻电抗" xfId="1" xr:uid="{00000000-0005-0000-0000-000001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zh-CN" altLang="en-US"/>
              <a:t>负荷曲线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曲线!$C$1</c:f>
              <c:strCache>
                <c:ptCount val="1"/>
                <c:pt idx="0">
                  <c:v>有功功率(kW)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曲线!$B$2:$B$25</c:f>
              <c:numCache>
                <c:formatCode>h:mm:ss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曲线!$C$2:$C$25</c:f>
              <c:numCache>
                <c:formatCode>General</c:formatCode>
                <c:ptCount val="24"/>
                <c:pt idx="0">
                  <c:v>200</c:v>
                </c:pt>
                <c:pt idx="1">
                  <c:v>220</c:v>
                </c:pt>
                <c:pt idx="2">
                  <c:v>240</c:v>
                </c:pt>
                <c:pt idx="3">
                  <c:v>260</c:v>
                </c:pt>
                <c:pt idx="4">
                  <c:v>280</c:v>
                </c:pt>
                <c:pt idx="5">
                  <c:v>300</c:v>
                </c:pt>
                <c:pt idx="6">
                  <c:v>320</c:v>
                </c:pt>
                <c:pt idx="7">
                  <c:v>340</c:v>
                </c:pt>
                <c:pt idx="8">
                  <c:v>360</c:v>
                </c:pt>
                <c:pt idx="9">
                  <c:v>345</c:v>
                </c:pt>
                <c:pt idx="10">
                  <c:v>330</c:v>
                </c:pt>
                <c:pt idx="11">
                  <c:v>315</c:v>
                </c:pt>
                <c:pt idx="12">
                  <c:v>300</c:v>
                </c:pt>
                <c:pt idx="13">
                  <c:v>285</c:v>
                </c:pt>
                <c:pt idx="14">
                  <c:v>270</c:v>
                </c:pt>
                <c:pt idx="15">
                  <c:v>255</c:v>
                </c:pt>
                <c:pt idx="16">
                  <c:v>240</c:v>
                </c:pt>
                <c:pt idx="17">
                  <c:v>225</c:v>
                </c:pt>
                <c:pt idx="18">
                  <c:v>210</c:v>
                </c:pt>
                <c:pt idx="19">
                  <c:v>195</c:v>
                </c:pt>
                <c:pt idx="20">
                  <c:v>180</c:v>
                </c:pt>
                <c:pt idx="21">
                  <c:v>200</c:v>
                </c:pt>
                <c:pt idx="22">
                  <c:v>215</c:v>
                </c:pt>
                <c:pt idx="23">
                  <c:v>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E4-4FEE-9E4A-EB04EFC3B3CE}"/>
            </c:ext>
          </c:extLst>
        </c:ser>
        <c:ser>
          <c:idx val="1"/>
          <c:order val="1"/>
          <c:tx>
            <c:strRef>
              <c:f>曲线!$D$1</c:f>
              <c:strCache>
                <c:ptCount val="1"/>
                <c:pt idx="0">
                  <c:v>无功功率(kvar)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曲线!$D$2:$D$25</c:f>
              <c:numCache>
                <c:formatCode>General</c:formatCode>
                <c:ptCount val="24"/>
                <c:pt idx="0">
                  <c:v>65.259999999999991</c:v>
                </c:pt>
                <c:pt idx="1">
                  <c:v>71.786000000000001</c:v>
                </c:pt>
                <c:pt idx="2">
                  <c:v>78.311999999999998</c:v>
                </c:pt>
                <c:pt idx="3">
                  <c:v>84.837999999999994</c:v>
                </c:pt>
                <c:pt idx="4">
                  <c:v>91.36399999999999</c:v>
                </c:pt>
                <c:pt idx="5">
                  <c:v>97.89</c:v>
                </c:pt>
                <c:pt idx="6">
                  <c:v>104.416</c:v>
                </c:pt>
                <c:pt idx="7">
                  <c:v>110.94199999999999</c:v>
                </c:pt>
                <c:pt idx="8">
                  <c:v>117.46799999999999</c:v>
                </c:pt>
                <c:pt idx="9">
                  <c:v>112.5735</c:v>
                </c:pt>
                <c:pt idx="10">
                  <c:v>107.67899999999999</c:v>
                </c:pt>
                <c:pt idx="11">
                  <c:v>102.78449999999999</c:v>
                </c:pt>
                <c:pt idx="12">
                  <c:v>97.89</c:v>
                </c:pt>
                <c:pt idx="13">
                  <c:v>92.995499999999993</c:v>
                </c:pt>
                <c:pt idx="14">
                  <c:v>88.100999999999999</c:v>
                </c:pt>
                <c:pt idx="15">
                  <c:v>83.206499999999991</c:v>
                </c:pt>
                <c:pt idx="16">
                  <c:v>78.311999999999998</c:v>
                </c:pt>
                <c:pt idx="17">
                  <c:v>73.41749999999999</c:v>
                </c:pt>
                <c:pt idx="18">
                  <c:v>68.522999999999996</c:v>
                </c:pt>
                <c:pt idx="19">
                  <c:v>63.628499999999995</c:v>
                </c:pt>
                <c:pt idx="20">
                  <c:v>58.733999999999995</c:v>
                </c:pt>
                <c:pt idx="21">
                  <c:v>65.259999999999991</c:v>
                </c:pt>
                <c:pt idx="22">
                  <c:v>70.154499999999999</c:v>
                </c:pt>
                <c:pt idx="23">
                  <c:v>75.048999999999992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E4-4FEE-9E4A-EB04EFC3B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1760"/>
        <c:axId val="236255216"/>
      </c:lineChart>
      <c:catAx>
        <c:axId val="5101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6255216"/>
        <c:crosses val="autoZero"/>
        <c:auto val="1"/>
        <c:lblAlgn val="ctr"/>
        <c:lblOffset val="100"/>
        <c:tickLblSkip val="4"/>
        <c:noMultiLvlLbl val="0"/>
      </c:catAx>
      <c:valAx>
        <c:axId val="23625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zh-CN" altLang="en-US"/>
              <a:t>电压曲线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曲线!$C$29</c:f>
              <c:strCache>
                <c:ptCount val="1"/>
                <c:pt idx="0">
                  <c:v>电压(kV)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曲线!$B$30:$B$53</c:f>
              <c:numCache>
                <c:formatCode>h:mm:ss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曲线!$C$30:$C$53</c:f>
              <c:numCache>
                <c:formatCode>General</c:formatCode>
                <c:ptCount val="24"/>
                <c:pt idx="0">
                  <c:v>10.1</c:v>
                </c:pt>
                <c:pt idx="1">
                  <c:v>10.199999999999999</c:v>
                </c:pt>
                <c:pt idx="2">
                  <c:v>10.3</c:v>
                </c:pt>
                <c:pt idx="3">
                  <c:v>10.4</c:v>
                </c:pt>
                <c:pt idx="4">
                  <c:v>10.5</c:v>
                </c:pt>
                <c:pt idx="5">
                  <c:v>10.6</c:v>
                </c:pt>
                <c:pt idx="6">
                  <c:v>10.7</c:v>
                </c:pt>
                <c:pt idx="7">
                  <c:v>10.8</c:v>
                </c:pt>
                <c:pt idx="8">
                  <c:v>10.9</c:v>
                </c:pt>
                <c:pt idx="9">
                  <c:v>10.8</c:v>
                </c:pt>
                <c:pt idx="10">
                  <c:v>10.7</c:v>
                </c:pt>
                <c:pt idx="11">
                  <c:v>10.6</c:v>
                </c:pt>
                <c:pt idx="12">
                  <c:v>10.5</c:v>
                </c:pt>
                <c:pt idx="13">
                  <c:v>10.4</c:v>
                </c:pt>
                <c:pt idx="14">
                  <c:v>10.3</c:v>
                </c:pt>
                <c:pt idx="15">
                  <c:v>10.199999999999999</c:v>
                </c:pt>
                <c:pt idx="16">
                  <c:v>10.1</c:v>
                </c:pt>
                <c:pt idx="17">
                  <c:v>10.199999999999999</c:v>
                </c:pt>
                <c:pt idx="18">
                  <c:v>10.3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10.7</c:v>
                </c:pt>
                <c:pt idx="23">
                  <c:v>10.8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747-4279-BA40-E4017C76D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1760"/>
        <c:axId val="236255216"/>
      </c:lineChart>
      <c:catAx>
        <c:axId val="5101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6255216"/>
        <c:crosses val="autoZero"/>
        <c:auto val="1"/>
        <c:lblAlgn val="ctr"/>
        <c:lblOffset val="100"/>
        <c:tickLblSkip val="4"/>
        <c:noMultiLvlLbl val="0"/>
      </c:catAx>
      <c:valAx>
        <c:axId val="236255216"/>
        <c:scaling>
          <c:orientation val="minMax"/>
          <c:max val="12.5"/>
          <c:min val="8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352425</xdr:colOff>
          <xdr:row>10</xdr:row>
          <xdr:rowOff>133350</xdr:rowOff>
        </xdr:from>
        <xdr:to>
          <xdr:col>7</xdr:col>
          <xdr:colOff>0</xdr:colOff>
          <xdr:row>13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计算线损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69850</xdr:colOff>
      <xdr:row>2</xdr:row>
      <xdr:rowOff>59690</xdr:rowOff>
    </xdr:from>
    <xdr:to>
      <xdr:col>12</xdr:col>
      <xdr:colOff>725170</xdr:colOff>
      <xdr:row>17</xdr:row>
      <xdr:rowOff>30480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45720</xdr:colOff>
      <xdr:row>28</xdr:row>
      <xdr:rowOff>15240</xdr:rowOff>
    </xdr:from>
    <xdr:to>
      <xdr:col>11</xdr:col>
      <xdr:colOff>641350</xdr:colOff>
      <xdr:row>42</xdr:row>
      <xdr:rowOff>43180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A108F-3E92-4C28-98DA-D754EFF6DBC6}">
  <sheetPr codeName="Sheet2"/>
  <dimension ref="A2:L42"/>
  <sheetViews>
    <sheetView workbookViewId="0">
      <selection activeCell="B29" sqref="B29"/>
    </sheetView>
  </sheetViews>
  <sheetFormatPr defaultRowHeight="13.5" x14ac:dyDescent="0.15"/>
  <cols>
    <col min="1" max="1" width="19.75" customWidth="1"/>
    <col min="2" max="2" width="16.25" customWidth="1"/>
    <col min="3" max="3" width="16.75" customWidth="1"/>
    <col min="4" max="4" width="15.5" customWidth="1"/>
    <col min="5" max="5" width="16.75" bestFit="1" customWidth="1"/>
    <col min="6" max="7" width="20" bestFit="1" customWidth="1"/>
    <col min="8" max="9" width="18.875" bestFit="1" customWidth="1"/>
    <col min="11" max="12" width="12.5" bestFit="1" customWidth="1"/>
  </cols>
  <sheetData>
    <row r="2" spans="1:4" x14ac:dyDescent="0.15">
      <c r="A2" t="s">
        <v>130</v>
      </c>
    </row>
    <row r="3" spans="1:4" x14ac:dyDescent="0.15">
      <c r="A3" t="s">
        <v>115</v>
      </c>
      <c r="B3" t="s">
        <v>119</v>
      </c>
    </row>
    <row r="4" spans="1:4" x14ac:dyDescent="0.15">
      <c r="A4" t="s">
        <v>120</v>
      </c>
      <c r="B4" t="s">
        <v>131</v>
      </c>
    </row>
    <row r="5" spans="1:4" x14ac:dyDescent="0.15">
      <c r="A5" t="s">
        <v>112</v>
      </c>
      <c r="B5" s="22" t="s">
        <v>131</v>
      </c>
      <c r="C5" s="22"/>
      <c r="D5" s="22"/>
    </row>
    <row r="6" spans="1:4" x14ac:dyDescent="0.15">
      <c r="A6" t="s">
        <v>214</v>
      </c>
      <c r="B6" s="22" t="s">
        <v>215</v>
      </c>
      <c r="C6" s="22"/>
      <c r="D6" s="22"/>
    </row>
    <row r="7" spans="1:4" x14ac:dyDescent="0.15">
      <c r="B7" s="22"/>
      <c r="C7" s="22"/>
      <c r="D7" s="22"/>
    </row>
    <row r="8" spans="1:4" x14ac:dyDescent="0.15">
      <c r="A8" t="s">
        <v>113</v>
      </c>
    </row>
    <row r="9" spans="1:4" x14ac:dyDescent="0.15">
      <c r="A9" t="s">
        <v>115</v>
      </c>
      <c r="B9" t="s">
        <v>114</v>
      </c>
    </row>
    <row r="10" spans="1:4" x14ac:dyDescent="0.15">
      <c r="A10" t="s">
        <v>120</v>
      </c>
      <c r="B10" t="s">
        <v>60</v>
      </c>
    </row>
    <row r="11" spans="1:4" ht="15.75" x14ac:dyDescent="0.15">
      <c r="A11" t="s">
        <v>112</v>
      </c>
      <c r="B11" s="22" t="s">
        <v>60</v>
      </c>
      <c r="C11" s="22" t="s">
        <v>62</v>
      </c>
      <c r="D11" s="22" t="s">
        <v>61</v>
      </c>
    </row>
    <row r="12" spans="1:4" x14ac:dyDescent="0.15">
      <c r="A12" t="s">
        <v>214</v>
      </c>
      <c r="B12" s="22" t="s">
        <v>215</v>
      </c>
      <c r="C12" s="22" t="s">
        <v>215</v>
      </c>
      <c r="D12" s="22" t="s">
        <v>215</v>
      </c>
    </row>
    <row r="14" spans="1:4" x14ac:dyDescent="0.15">
      <c r="A14" t="s">
        <v>116</v>
      </c>
    </row>
    <row r="15" spans="1:4" x14ac:dyDescent="0.15">
      <c r="A15" t="s">
        <v>115</v>
      </c>
      <c r="B15" t="s">
        <v>119</v>
      </c>
    </row>
    <row r="16" spans="1:4" x14ac:dyDescent="0.15">
      <c r="A16" t="s">
        <v>120</v>
      </c>
      <c r="B16" t="s">
        <v>96</v>
      </c>
    </row>
    <row r="17" spans="1:12" x14ac:dyDescent="0.15">
      <c r="A17" t="s">
        <v>112</v>
      </c>
      <c r="B17" t="s">
        <v>96</v>
      </c>
      <c r="C17" t="s">
        <v>97</v>
      </c>
      <c r="D17" t="s">
        <v>98</v>
      </c>
      <c r="E17" t="s">
        <v>117</v>
      </c>
      <c r="F17" t="s">
        <v>118</v>
      </c>
    </row>
    <row r="18" spans="1:12" x14ac:dyDescent="0.15">
      <c r="A18" t="s">
        <v>214</v>
      </c>
      <c r="B18" s="22" t="s">
        <v>215</v>
      </c>
      <c r="C18" s="22" t="s">
        <v>215</v>
      </c>
      <c r="D18" s="22" t="s">
        <v>215</v>
      </c>
      <c r="E18" s="22" t="s">
        <v>215</v>
      </c>
      <c r="F18" s="22" t="s">
        <v>215</v>
      </c>
    </row>
    <row r="20" spans="1:12" x14ac:dyDescent="0.15">
      <c r="A20" t="s">
        <v>121</v>
      </c>
    </row>
    <row r="21" spans="1:12" x14ac:dyDescent="0.15">
      <c r="A21" t="s">
        <v>115</v>
      </c>
      <c r="B21" t="s">
        <v>119</v>
      </c>
    </row>
    <row r="22" spans="1:12" x14ac:dyDescent="0.15">
      <c r="A22" t="s">
        <v>120</v>
      </c>
      <c r="B22" t="s">
        <v>109</v>
      </c>
    </row>
    <row r="23" spans="1:12" x14ac:dyDescent="0.15">
      <c r="A23" t="s">
        <v>112</v>
      </c>
      <c r="B23" t="s">
        <v>109</v>
      </c>
      <c r="C23" t="s">
        <v>105</v>
      </c>
      <c r="D23" t="s">
        <v>106</v>
      </c>
      <c r="E23" t="s">
        <v>122</v>
      </c>
      <c r="F23" t="s">
        <v>123</v>
      </c>
      <c r="G23" t="s">
        <v>124</v>
      </c>
      <c r="H23" t="s">
        <v>125</v>
      </c>
      <c r="I23" t="s">
        <v>126</v>
      </c>
      <c r="J23" t="s">
        <v>127</v>
      </c>
      <c r="K23" t="s">
        <v>128</v>
      </c>
      <c r="L23" t="s">
        <v>129</v>
      </c>
    </row>
    <row r="24" spans="1:12" x14ac:dyDescent="0.15">
      <c r="A24" t="s">
        <v>214</v>
      </c>
      <c r="B24" s="22" t="s">
        <v>215</v>
      </c>
      <c r="C24" s="22" t="s">
        <v>215</v>
      </c>
      <c r="D24" s="22" t="s">
        <v>215</v>
      </c>
      <c r="E24" s="22" t="s">
        <v>215</v>
      </c>
      <c r="F24" s="22" t="s">
        <v>215</v>
      </c>
      <c r="G24" s="22" t="s">
        <v>215</v>
      </c>
      <c r="H24" s="22" t="s">
        <v>215</v>
      </c>
      <c r="I24" s="22"/>
      <c r="K24" s="22" t="s">
        <v>215</v>
      </c>
      <c r="L24" s="22" t="s">
        <v>215</v>
      </c>
    </row>
    <row r="26" spans="1:12" x14ac:dyDescent="0.15">
      <c r="A26" t="s">
        <v>216</v>
      </c>
    </row>
    <row r="27" spans="1:12" x14ac:dyDescent="0.15">
      <c r="A27" t="s">
        <v>115</v>
      </c>
      <c r="B27" t="s">
        <v>217</v>
      </c>
    </row>
    <row r="28" spans="1:12" x14ac:dyDescent="0.15">
      <c r="A28" t="s">
        <v>120</v>
      </c>
      <c r="B28" t="s">
        <v>176</v>
      </c>
    </row>
    <row r="29" spans="1:12" x14ac:dyDescent="0.15">
      <c r="A29" t="s">
        <v>112</v>
      </c>
      <c r="B29" t="s">
        <v>176</v>
      </c>
      <c r="C29" s="17" t="s">
        <v>172</v>
      </c>
      <c r="D29" s="17" t="s">
        <v>173</v>
      </c>
    </row>
    <row r="30" spans="1:12" x14ac:dyDescent="0.15">
      <c r="A30" t="s">
        <v>214</v>
      </c>
      <c r="B30" s="22" t="s">
        <v>215</v>
      </c>
      <c r="C30" s="22" t="s">
        <v>215</v>
      </c>
      <c r="D30" s="22" t="s">
        <v>215</v>
      </c>
      <c r="E30" s="22"/>
      <c r="F30" s="22"/>
    </row>
    <row r="32" spans="1:12" x14ac:dyDescent="0.15">
      <c r="A32" t="s">
        <v>218</v>
      </c>
    </row>
    <row r="33" spans="1:9" x14ac:dyDescent="0.15">
      <c r="A33" t="s">
        <v>115</v>
      </c>
      <c r="B33" t="s">
        <v>217</v>
      </c>
    </row>
    <row r="34" spans="1:9" x14ac:dyDescent="0.15">
      <c r="A34" t="s">
        <v>120</v>
      </c>
      <c r="B34" t="s">
        <v>219</v>
      </c>
    </row>
    <row r="35" spans="1:9" x14ac:dyDescent="0.15">
      <c r="A35" t="s">
        <v>112</v>
      </c>
      <c r="B35" t="s">
        <v>219</v>
      </c>
      <c r="C35" s="17" t="s">
        <v>185</v>
      </c>
      <c r="D35" s="17" t="s">
        <v>186</v>
      </c>
    </row>
    <row r="36" spans="1:9" x14ac:dyDescent="0.15">
      <c r="A36" t="s">
        <v>214</v>
      </c>
      <c r="B36" s="22" t="s">
        <v>215</v>
      </c>
      <c r="C36" s="22" t="s">
        <v>215</v>
      </c>
      <c r="D36" s="22"/>
    </row>
    <row r="38" spans="1:9" x14ac:dyDescent="0.15">
      <c r="A38" t="s">
        <v>220</v>
      </c>
    </row>
    <row r="39" spans="1:9" x14ac:dyDescent="0.15">
      <c r="A39" t="s">
        <v>115</v>
      </c>
      <c r="B39" t="s">
        <v>119</v>
      </c>
    </row>
    <row r="40" spans="1:9" x14ac:dyDescent="0.15">
      <c r="A40" t="s">
        <v>120</v>
      </c>
      <c r="B40" t="s">
        <v>221</v>
      </c>
    </row>
    <row r="41" spans="1:9" x14ac:dyDescent="0.15">
      <c r="A41" t="s">
        <v>112</v>
      </c>
      <c r="B41" t="s">
        <v>221</v>
      </c>
      <c r="C41" s="17" t="s">
        <v>223</v>
      </c>
      <c r="D41" s="17" t="s">
        <v>192</v>
      </c>
      <c r="E41" s="17" t="s">
        <v>194</v>
      </c>
      <c r="F41" s="17" t="s">
        <v>196</v>
      </c>
      <c r="G41" s="17" t="s">
        <v>198</v>
      </c>
      <c r="H41" s="17" t="s">
        <v>200</v>
      </c>
      <c r="I41" s="17" t="s">
        <v>205</v>
      </c>
    </row>
    <row r="42" spans="1:9" x14ac:dyDescent="0.15">
      <c r="A42" t="s">
        <v>214</v>
      </c>
      <c r="B42" s="22" t="s">
        <v>215</v>
      </c>
      <c r="C42" s="22" t="s">
        <v>215</v>
      </c>
      <c r="D42" s="22" t="s">
        <v>215</v>
      </c>
      <c r="E42" s="22" t="s">
        <v>215</v>
      </c>
      <c r="G42" s="22" t="s">
        <v>215</v>
      </c>
      <c r="H42" s="22" t="s">
        <v>215</v>
      </c>
      <c r="I42" s="22" t="s">
        <v>215</v>
      </c>
    </row>
  </sheetData>
  <phoneticPr fontId="15" type="noConversion"/>
  <pageMargins left="0.7" right="0.7" top="0.75" bottom="0.75" header="0.3" footer="0.3"/>
  <pageSetup paperSize="9" orientation="portrait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Loss">
                <anchor moveWithCells="1" sizeWithCells="1">
                  <from>
                    <xdr:col>6</xdr:col>
                    <xdr:colOff>352425</xdr:colOff>
                    <xdr:row>10</xdr:row>
                    <xdr:rowOff>133350</xdr:rowOff>
                  </from>
                  <to>
                    <xdr:col>7</xdr:col>
                    <xdr:colOff>0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A3F1C-4B35-4D13-A173-EA51FA54E497}">
  <sheetPr codeName="Sheet7"/>
  <dimension ref="A2:R56"/>
  <sheetViews>
    <sheetView topLeftCell="C1" workbookViewId="0">
      <selection activeCell="K19" sqref="K19"/>
    </sheetView>
  </sheetViews>
  <sheetFormatPr defaultRowHeight="13.5" x14ac:dyDescent="0.15"/>
  <cols>
    <col min="1" max="1" width="16.375" customWidth="1"/>
    <col min="2" max="2" width="12.125" customWidth="1"/>
    <col min="3" max="3" width="13.75" customWidth="1"/>
    <col min="4" max="4" width="14.375" customWidth="1"/>
    <col min="5" max="5" width="15.25" customWidth="1"/>
    <col min="6" max="6" width="17.25" customWidth="1"/>
    <col min="7" max="7" width="19.5" customWidth="1"/>
    <col min="8" max="8" width="20.5" bestFit="1" customWidth="1"/>
    <col min="9" max="10" width="12.75" bestFit="1" customWidth="1"/>
    <col min="11" max="12" width="19.375" bestFit="1" customWidth="1"/>
    <col min="14" max="14" width="12.625" customWidth="1"/>
    <col min="15" max="15" width="12.5" customWidth="1"/>
  </cols>
  <sheetData>
    <row r="2" spans="1:8" ht="17.45" customHeight="1" x14ac:dyDescent="0.15">
      <c r="A2" t="s">
        <v>222</v>
      </c>
      <c r="B2" t="s">
        <v>170</v>
      </c>
    </row>
    <row r="3" spans="1:8" ht="15.75" x14ac:dyDescent="0.15">
      <c r="A3" s="24" t="s">
        <v>141</v>
      </c>
      <c r="B3" s="17" t="s">
        <v>60</v>
      </c>
      <c r="C3" s="17" t="s">
        <v>62</v>
      </c>
      <c r="D3" s="17" t="s">
        <v>61</v>
      </c>
      <c r="E3" s="15"/>
      <c r="F3" s="15"/>
      <c r="G3" s="15"/>
      <c r="H3" s="15"/>
    </row>
    <row r="4" spans="1:8" x14ac:dyDescent="0.15">
      <c r="A4" t="s">
        <v>137</v>
      </c>
      <c r="C4" t="s">
        <v>133</v>
      </c>
      <c r="D4" t="s">
        <v>134</v>
      </c>
    </row>
    <row r="5" spans="1:8" x14ac:dyDescent="0.15">
      <c r="A5" t="s">
        <v>138</v>
      </c>
      <c r="B5" s="23" t="s">
        <v>135</v>
      </c>
      <c r="C5" s="23" t="s">
        <v>136</v>
      </c>
      <c r="D5" s="23" t="s">
        <v>136</v>
      </c>
    </row>
    <row r="6" spans="1:8" x14ac:dyDescent="0.15">
      <c r="A6" t="s">
        <v>139</v>
      </c>
    </row>
    <row r="7" spans="1:8" x14ac:dyDescent="0.15">
      <c r="A7" t="s">
        <v>142</v>
      </c>
    </row>
    <row r="8" spans="1:8" x14ac:dyDescent="0.15">
      <c r="A8" t="s">
        <v>140</v>
      </c>
    </row>
    <row r="10" spans="1:8" x14ac:dyDescent="0.15">
      <c r="A10" t="s">
        <v>148</v>
      </c>
      <c r="B10" t="s">
        <v>147</v>
      </c>
    </row>
    <row r="11" spans="1:8" x14ac:dyDescent="0.15">
      <c r="A11" s="24" t="s">
        <v>141</v>
      </c>
      <c r="B11" s="17" t="s">
        <v>96</v>
      </c>
      <c r="C11" s="17" t="s">
        <v>97</v>
      </c>
      <c r="D11" s="17" t="s">
        <v>98</v>
      </c>
      <c r="E11" s="15" t="s">
        <v>117</v>
      </c>
      <c r="F11" s="15" t="s">
        <v>143</v>
      </c>
      <c r="G11" s="15" t="s">
        <v>144</v>
      </c>
      <c r="H11" s="15" t="s">
        <v>118</v>
      </c>
    </row>
    <row r="12" spans="1:8" x14ac:dyDescent="0.15">
      <c r="A12" t="s">
        <v>137</v>
      </c>
      <c r="C12" t="s">
        <v>145</v>
      </c>
      <c r="D12" t="s">
        <v>101</v>
      </c>
      <c r="E12" t="s">
        <v>170</v>
      </c>
      <c r="F12" t="s">
        <v>133</v>
      </c>
      <c r="G12" t="s">
        <v>134</v>
      </c>
      <c r="H12" t="s">
        <v>146</v>
      </c>
    </row>
    <row r="13" spans="1:8" x14ac:dyDescent="0.15">
      <c r="A13" t="s">
        <v>138</v>
      </c>
      <c r="B13" s="23" t="s">
        <v>135</v>
      </c>
      <c r="C13" s="23" t="s">
        <v>136</v>
      </c>
      <c r="D13" s="23" t="s">
        <v>136</v>
      </c>
      <c r="E13" s="23" t="s">
        <v>136</v>
      </c>
      <c r="F13" s="23" t="s">
        <v>136</v>
      </c>
      <c r="G13" s="23" t="s">
        <v>136</v>
      </c>
      <c r="H13" s="23" t="s">
        <v>136</v>
      </c>
    </row>
    <row r="14" spans="1:8" x14ac:dyDescent="0.15">
      <c r="A14" t="s">
        <v>139</v>
      </c>
    </row>
    <row r="15" spans="1:8" x14ac:dyDescent="0.15">
      <c r="A15" t="s">
        <v>142</v>
      </c>
    </row>
    <row r="16" spans="1:8" x14ac:dyDescent="0.15">
      <c r="A16" t="s">
        <v>140</v>
      </c>
    </row>
    <row r="18" spans="1:18" x14ac:dyDescent="0.15">
      <c r="A18" t="s">
        <v>149</v>
      </c>
      <c r="B18" t="s">
        <v>150</v>
      </c>
    </row>
    <row r="19" spans="1:18" x14ac:dyDescent="0.15">
      <c r="A19" s="24" t="s">
        <v>141</v>
      </c>
      <c r="B19" s="17" t="s">
        <v>109</v>
      </c>
      <c r="C19" s="17" t="s">
        <v>105</v>
      </c>
      <c r="D19" s="17" t="s">
        <v>106</v>
      </c>
      <c r="E19" s="15" t="s">
        <v>151</v>
      </c>
      <c r="F19" s="15" t="s">
        <v>122</v>
      </c>
      <c r="G19" t="s">
        <v>123</v>
      </c>
      <c r="H19" t="s">
        <v>124</v>
      </c>
      <c r="I19" t="s">
        <v>152</v>
      </c>
      <c r="J19" t="s">
        <v>153</v>
      </c>
      <c r="K19" t="s">
        <v>245</v>
      </c>
      <c r="L19" t="s">
        <v>246</v>
      </c>
      <c r="M19" t="s">
        <v>127</v>
      </c>
      <c r="N19" t="s">
        <v>247</v>
      </c>
      <c r="O19" t="s">
        <v>248</v>
      </c>
      <c r="P19" t="s">
        <v>154</v>
      </c>
      <c r="Q19" t="s">
        <v>155</v>
      </c>
      <c r="R19" t="s">
        <v>156</v>
      </c>
    </row>
    <row r="20" spans="1:18" x14ac:dyDescent="0.15">
      <c r="A20" t="s">
        <v>137</v>
      </c>
      <c r="C20" t="s">
        <v>157</v>
      </c>
      <c r="F20" t="s">
        <v>160</v>
      </c>
      <c r="G20" t="s">
        <v>161</v>
      </c>
      <c r="K20" t="s">
        <v>162</v>
      </c>
      <c r="L20" s="23" t="s">
        <v>165</v>
      </c>
      <c r="N20" s="23" t="s">
        <v>163</v>
      </c>
      <c r="O20" s="23" t="s">
        <v>164</v>
      </c>
      <c r="P20" t="s">
        <v>166</v>
      </c>
      <c r="Q20" t="s">
        <v>167</v>
      </c>
      <c r="R20" t="s">
        <v>168</v>
      </c>
    </row>
    <row r="21" spans="1:18" x14ac:dyDescent="0.15">
      <c r="A21" t="s">
        <v>138</v>
      </c>
      <c r="B21" s="23" t="s">
        <v>135</v>
      </c>
      <c r="C21" s="23" t="s">
        <v>136</v>
      </c>
      <c r="D21" s="23"/>
      <c r="E21" s="23"/>
      <c r="F21" s="23" t="s">
        <v>136</v>
      </c>
      <c r="G21" s="23" t="s">
        <v>136</v>
      </c>
      <c r="K21" s="23" t="s">
        <v>136</v>
      </c>
      <c r="L21" s="23" t="s">
        <v>136</v>
      </c>
      <c r="N21" s="23" t="s">
        <v>136</v>
      </c>
      <c r="O21" s="23" t="s">
        <v>136</v>
      </c>
      <c r="P21" s="23" t="s">
        <v>136</v>
      </c>
      <c r="Q21" s="23" t="s">
        <v>136</v>
      </c>
      <c r="R21" s="23" t="s">
        <v>136</v>
      </c>
    </row>
    <row r="22" spans="1:18" x14ac:dyDescent="0.15">
      <c r="A22" t="s">
        <v>139</v>
      </c>
      <c r="C22" s="23" t="s">
        <v>158</v>
      </c>
      <c r="F22" t="s">
        <v>158</v>
      </c>
      <c r="G22" t="s">
        <v>158</v>
      </c>
    </row>
    <row r="23" spans="1:18" x14ac:dyDescent="0.15">
      <c r="A23" t="s">
        <v>142</v>
      </c>
      <c r="C23" s="17" t="s">
        <v>106</v>
      </c>
      <c r="F23" s="15" t="s">
        <v>122</v>
      </c>
      <c r="G23" t="s">
        <v>124</v>
      </c>
    </row>
    <row r="24" spans="1:18" x14ac:dyDescent="0.15">
      <c r="A24" t="s">
        <v>140</v>
      </c>
      <c r="C24" s="23" t="s">
        <v>159</v>
      </c>
      <c r="F24" t="s">
        <v>159</v>
      </c>
      <c r="G24" t="s">
        <v>159</v>
      </c>
    </row>
    <row r="26" spans="1:18" x14ac:dyDescent="0.15">
      <c r="A26" t="s">
        <v>169</v>
      </c>
      <c r="B26" t="s">
        <v>132</v>
      </c>
    </row>
    <row r="27" spans="1:18" x14ac:dyDescent="0.15">
      <c r="A27" s="24" t="s">
        <v>141</v>
      </c>
      <c r="B27" s="17" t="s">
        <v>171</v>
      </c>
      <c r="C27" s="17" t="s">
        <v>177</v>
      </c>
      <c r="D27" s="17" t="s">
        <v>172</v>
      </c>
      <c r="E27" s="17" t="s">
        <v>173</v>
      </c>
      <c r="F27" s="17" t="s">
        <v>178</v>
      </c>
      <c r="G27" s="17" t="s">
        <v>179</v>
      </c>
      <c r="H27" s="17" t="s">
        <v>182</v>
      </c>
    </row>
    <row r="28" spans="1:18" x14ac:dyDescent="0.15">
      <c r="A28" t="s">
        <v>137</v>
      </c>
      <c r="D28" t="s">
        <v>174</v>
      </c>
      <c r="E28" t="s">
        <v>175</v>
      </c>
      <c r="F28" t="s">
        <v>180</v>
      </c>
      <c r="G28" t="s">
        <v>181</v>
      </c>
      <c r="H28" t="s">
        <v>183</v>
      </c>
    </row>
    <row r="29" spans="1:18" x14ac:dyDescent="0.15">
      <c r="A29" t="s">
        <v>138</v>
      </c>
      <c r="B29" s="23"/>
      <c r="C29" s="23" t="s">
        <v>135</v>
      </c>
      <c r="D29" s="23" t="s">
        <v>136</v>
      </c>
      <c r="E29" s="23" t="s">
        <v>136</v>
      </c>
      <c r="F29" s="23" t="s">
        <v>136</v>
      </c>
      <c r="G29" s="23" t="s">
        <v>136</v>
      </c>
      <c r="H29" s="23" t="s">
        <v>136</v>
      </c>
    </row>
    <row r="30" spans="1:18" x14ac:dyDescent="0.15">
      <c r="A30" t="s">
        <v>139</v>
      </c>
      <c r="D30" s="23" t="s">
        <v>158</v>
      </c>
      <c r="E30" s="23" t="s">
        <v>158</v>
      </c>
      <c r="F30" s="23"/>
      <c r="G30" s="23"/>
    </row>
    <row r="31" spans="1:18" x14ac:dyDescent="0.15">
      <c r="A31" t="s">
        <v>142</v>
      </c>
    </row>
    <row r="32" spans="1:18" x14ac:dyDescent="0.15">
      <c r="A32" t="s">
        <v>140</v>
      </c>
      <c r="D32" s="23" t="s">
        <v>159</v>
      </c>
      <c r="E32" s="23" t="s">
        <v>159</v>
      </c>
      <c r="F32" s="23"/>
      <c r="G32" s="23"/>
    </row>
    <row r="34" spans="1:8" x14ac:dyDescent="0.15">
      <c r="A34" t="s">
        <v>184</v>
      </c>
      <c r="B34" t="s">
        <v>132</v>
      </c>
    </row>
    <row r="35" spans="1:8" x14ac:dyDescent="0.15">
      <c r="A35" s="24" t="s">
        <v>141</v>
      </c>
      <c r="B35" s="17" t="s">
        <v>171</v>
      </c>
      <c r="C35" s="17" t="s">
        <v>188</v>
      </c>
      <c r="D35" s="17" t="s">
        <v>187</v>
      </c>
      <c r="E35" s="17" t="s">
        <v>186</v>
      </c>
      <c r="F35" s="17" t="s">
        <v>182</v>
      </c>
    </row>
    <row r="36" spans="1:8" x14ac:dyDescent="0.15">
      <c r="A36" t="s">
        <v>137</v>
      </c>
      <c r="D36" t="s">
        <v>174</v>
      </c>
      <c r="E36" t="s">
        <v>180</v>
      </c>
      <c r="F36" t="s">
        <v>183</v>
      </c>
    </row>
    <row r="37" spans="1:8" x14ac:dyDescent="0.15">
      <c r="A37" t="s">
        <v>138</v>
      </c>
      <c r="B37" s="23"/>
      <c r="C37" s="23" t="s">
        <v>135</v>
      </c>
      <c r="D37" s="23" t="s">
        <v>136</v>
      </c>
      <c r="E37" s="23" t="s">
        <v>136</v>
      </c>
      <c r="F37" s="23" t="s">
        <v>136</v>
      </c>
    </row>
    <row r="38" spans="1:8" x14ac:dyDescent="0.15">
      <c r="A38" t="s">
        <v>139</v>
      </c>
      <c r="D38" s="23" t="s">
        <v>158</v>
      </c>
      <c r="E38" s="23"/>
      <c r="F38" s="23"/>
      <c r="G38" s="23"/>
    </row>
    <row r="39" spans="1:8" x14ac:dyDescent="0.15">
      <c r="A39" t="s">
        <v>142</v>
      </c>
    </row>
    <row r="40" spans="1:8" x14ac:dyDescent="0.15">
      <c r="A40" t="s">
        <v>140</v>
      </c>
      <c r="D40" s="23" t="s">
        <v>159</v>
      </c>
      <c r="E40" s="23"/>
      <c r="F40" s="23"/>
      <c r="G40" s="23"/>
    </row>
    <row r="42" spans="1:8" x14ac:dyDescent="0.15">
      <c r="A42" t="s">
        <v>189</v>
      </c>
      <c r="B42" t="s">
        <v>190</v>
      </c>
    </row>
    <row r="43" spans="1:8" x14ac:dyDescent="0.15">
      <c r="A43" s="24" t="s">
        <v>141</v>
      </c>
      <c r="B43" s="17" t="s">
        <v>191</v>
      </c>
      <c r="C43" s="17" t="s">
        <v>223</v>
      </c>
      <c r="D43" s="17" t="s">
        <v>192</v>
      </c>
      <c r="E43" s="17" t="s">
        <v>194</v>
      </c>
      <c r="F43" s="17" t="s">
        <v>196</v>
      </c>
      <c r="G43" s="17" t="s">
        <v>198</v>
      </c>
      <c r="H43" s="17" t="s">
        <v>200</v>
      </c>
    </row>
    <row r="44" spans="1:8" x14ac:dyDescent="0.15">
      <c r="A44" t="s">
        <v>137</v>
      </c>
      <c r="C44" t="s">
        <v>145</v>
      </c>
      <c r="D44" t="s">
        <v>193</v>
      </c>
      <c r="E44" t="s">
        <v>195</v>
      </c>
      <c r="F44" t="s">
        <v>197</v>
      </c>
      <c r="G44" t="s">
        <v>199</v>
      </c>
      <c r="H44" t="s">
        <v>201</v>
      </c>
    </row>
    <row r="45" spans="1:8" x14ac:dyDescent="0.15">
      <c r="A45" t="s">
        <v>138</v>
      </c>
      <c r="B45" s="23" t="s">
        <v>135</v>
      </c>
      <c r="C45" s="23" t="s">
        <v>136</v>
      </c>
      <c r="D45" s="23" t="s">
        <v>136</v>
      </c>
      <c r="E45" s="23" t="s">
        <v>136</v>
      </c>
      <c r="F45" s="23" t="s">
        <v>136</v>
      </c>
      <c r="G45" s="23" t="s">
        <v>136</v>
      </c>
      <c r="H45" s="23" t="s">
        <v>136</v>
      </c>
    </row>
    <row r="46" spans="1:8" x14ac:dyDescent="0.15">
      <c r="A46" t="s">
        <v>139</v>
      </c>
      <c r="C46" s="23"/>
      <c r="D46" s="23"/>
      <c r="E46" s="23"/>
    </row>
    <row r="47" spans="1:8" x14ac:dyDescent="0.15">
      <c r="A47" t="s">
        <v>142</v>
      </c>
    </row>
    <row r="48" spans="1:8" x14ac:dyDescent="0.15">
      <c r="A48" t="s">
        <v>140</v>
      </c>
      <c r="C48" s="23"/>
      <c r="D48" s="23"/>
      <c r="E48" s="23"/>
    </row>
    <row r="50" spans="1:9" x14ac:dyDescent="0.15">
      <c r="A50" t="s">
        <v>202</v>
      </c>
      <c r="B50" t="s">
        <v>203</v>
      </c>
    </row>
    <row r="51" spans="1:9" x14ac:dyDescent="0.15">
      <c r="A51" s="24" t="s">
        <v>141</v>
      </c>
      <c r="B51" s="17" t="s">
        <v>204</v>
      </c>
      <c r="C51" s="17" t="s">
        <v>223</v>
      </c>
      <c r="D51" s="17" t="s">
        <v>192</v>
      </c>
      <c r="E51" s="17" t="s">
        <v>194</v>
      </c>
      <c r="F51" s="17" t="s">
        <v>196</v>
      </c>
      <c r="G51" s="17" t="s">
        <v>198</v>
      </c>
      <c r="H51" s="17" t="s">
        <v>200</v>
      </c>
      <c r="I51" s="17" t="s">
        <v>205</v>
      </c>
    </row>
    <row r="52" spans="1:9" x14ac:dyDescent="0.15">
      <c r="A52" t="s">
        <v>137</v>
      </c>
      <c r="C52" t="s">
        <v>145</v>
      </c>
      <c r="D52" t="s">
        <v>193</v>
      </c>
      <c r="E52" t="s">
        <v>195</v>
      </c>
      <c r="F52" t="s">
        <v>197</v>
      </c>
      <c r="G52" t="s">
        <v>199</v>
      </c>
      <c r="H52" t="s">
        <v>201</v>
      </c>
      <c r="I52" t="s">
        <v>206</v>
      </c>
    </row>
    <row r="53" spans="1:9" x14ac:dyDescent="0.15">
      <c r="A53" t="s">
        <v>138</v>
      </c>
      <c r="B53" s="23" t="s">
        <v>135</v>
      </c>
      <c r="C53" s="23" t="s">
        <v>136</v>
      </c>
      <c r="D53" s="23" t="s">
        <v>136</v>
      </c>
      <c r="E53" s="23" t="s">
        <v>136</v>
      </c>
      <c r="F53" s="23" t="s">
        <v>136</v>
      </c>
      <c r="G53" s="23" t="s">
        <v>136</v>
      </c>
      <c r="H53" s="23" t="s">
        <v>136</v>
      </c>
      <c r="I53" s="23" t="s">
        <v>136</v>
      </c>
    </row>
    <row r="54" spans="1:9" x14ac:dyDescent="0.15">
      <c r="A54" t="s">
        <v>139</v>
      </c>
      <c r="C54" s="23"/>
      <c r="D54" s="23"/>
      <c r="E54" s="23"/>
    </row>
    <row r="55" spans="1:9" x14ac:dyDescent="0.15">
      <c r="A55" t="s">
        <v>142</v>
      </c>
    </row>
    <row r="56" spans="1:9" x14ac:dyDescent="0.15">
      <c r="A56" t="s">
        <v>140</v>
      </c>
      <c r="C56" s="23"/>
      <c r="D56" s="23"/>
      <c r="E56" s="23"/>
    </row>
  </sheetData>
  <phoneticPr fontId="1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B25AA-E2B9-4ED2-A8EE-73CCD76EB2D8}">
  <sheetPr codeName="Sheet5"/>
  <dimension ref="A1:J19"/>
  <sheetViews>
    <sheetView workbookViewId="0">
      <selection activeCell="I31" sqref="I31"/>
    </sheetView>
  </sheetViews>
  <sheetFormatPr defaultRowHeight="13.5" x14ac:dyDescent="0.15"/>
  <cols>
    <col min="1" max="1" width="13.875" customWidth="1"/>
    <col min="2" max="2" width="11.875" customWidth="1"/>
    <col min="3" max="3" width="11.75" customWidth="1"/>
    <col min="4" max="4" width="17.75" customWidth="1"/>
    <col min="5" max="5" width="13.25" customWidth="1"/>
    <col min="6" max="6" width="13.625" customWidth="1"/>
    <col min="7" max="7" width="19.125" customWidth="1"/>
    <col min="8" max="8" width="17.25" customWidth="1"/>
    <col min="9" max="9" width="13.75" customWidth="1"/>
    <col min="10" max="10" width="17.25" customWidth="1"/>
  </cols>
  <sheetData>
    <row r="1" spans="1:10" ht="39" customHeight="1" x14ac:dyDescent="0.15">
      <c r="A1" s="3" t="s">
        <v>236</v>
      </c>
      <c r="B1" s="3" t="s">
        <v>62</v>
      </c>
      <c r="C1" s="3" t="s">
        <v>61</v>
      </c>
    </row>
    <row r="2" spans="1:10" x14ac:dyDescent="0.15">
      <c r="A2" t="s">
        <v>224</v>
      </c>
      <c r="B2" s="17">
        <v>2.04</v>
      </c>
      <c r="C2" s="15">
        <v>0.4</v>
      </c>
    </row>
    <row r="3" spans="1:10" x14ac:dyDescent="0.15">
      <c r="A3" t="s">
        <v>225</v>
      </c>
      <c r="B3" s="17">
        <v>1.38</v>
      </c>
      <c r="C3" s="15">
        <v>0.38</v>
      </c>
    </row>
    <row r="4" spans="1:10" x14ac:dyDescent="0.15">
      <c r="A4" t="s">
        <v>226</v>
      </c>
      <c r="B4" s="18">
        <v>0.85</v>
      </c>
      <c r="C4" s="15">
        <v>0.37</v>
      </c>
    </row>
    <row r="5" spans="1:10" x14ac:dyDescent="0.15">
      <c r="A5" t="s">
        <v>227</v>
      </c>
      <c r="B5" s="18">
        <v>0.65</v>
      </c>
      <c r="C5" s="15">
        <v>0.36</v>
      </c>
    </row>
    <row r="6" spans="1:10" x14ac:dyDescent="0.15">
      <c r="A6" t="s">
        <v>228</v>
      </c>
      <c r="B6" s="18">
        <v>0.45</v>
      </c>
      <c r="C6" s="15">
        <v>0.35</v>
      </c>
    </row>
    <row r="7" spans="1:10" x14ac:dyDescent="0.15">
      <c r="A7" t="s">
        <v>229</v>
      </c>
      <c r="B7" s="18">
        <v>0.33</v>
      </c>
      <c r="C7" s="15">
        <v>0.34</v>
      </c>
    </row>
    <row r="8" spans="1:10" x14ac:dyDescent="0.15">
      <c r="A8" t="s">
        <v>230</v>
      </c>
      <c r="B8" s="18">
        <v>0.27</v>
      </c>
      <c r="C8" s="15">
        <v>0.33</v>
      </c>
    </row>
    <row r="9" spans="1:10" x14ac:dyDescent="0.15">
      <c r="A9" t="s">
        <v>231</v>
      </c>
      <c r="B9" s="18">
        <v>0.21</v>
      </c>
      <c r="C9" s="15">
        <v>0.32</v>
      </c>
    </row>
    <row r="10" spans="1:10" x14ac:dyDescent="0.15">
      <c r="A10" t="s">
        <v>232</v>
      </c>
      <c r="B10" s="18">
        <v>0.17</v>
      </c>
      <c r="C10" s="15">
        <v>0.31</v>
      </c>
    </row>
    <row r="11" spans="1:10" x14ac:dyDescent="0.15">
      <c r="A11" t="s">
        <v>233</v>
      </c>
      <c r="B11" s="18">
        <v>0.13200000000000001</v>
      </c>
      <c r="C11" s="15">
        <v>0.31</v>
      </c>
    </row>
    <row r="12" spans="1:10" x14ac:dyDescent="0.15">
      <c r="A12" t="s">
        <v>234</v>
      </c>
      <c r="B12" s="18">
        <v>0.107</v>
      </c>
      <c r="C12" s="15">
        <v>0.3</v>
      </c>
    </row>
    <row r="13" spans="1:10" x14ac:dyDescent="0.15">
      <c r="A13" t="s">
        <v>235</v>
      </c>
      <c r="B13" s="18">
        <v>0.08</v>
      </c>
      <c r="C13" s="15">
        <v>0.28000000000000003</v>
      </c>
    </row>
    <row r="15" spans="1:10" ht="27" x14ac:dyDescent="0.15">
      <c r="A15" s="27" t="s">
        <v>64</v>
      </c>
      <c r="B15" s="27" t="s">
        <v>74</v>
      </c>
      <c r="C15" s="27" t="s">
        <v>69</v>
      </c>
      <c r="D15" s="27" t="s">
        <v>70</v>
      </c>
      <c r="E15" s="27" t="s">
        <v>75</v>
      </c>
      <c r="F15" s="27" t="s">
        <v>76</v>
      </c>
      <c r="G15" s="27" t="s">
        <v>71</v>
      </c>
      <c r="H15" s="27" t="s">
        <v>72</v>
      </c>
      <c r="I15" s="27" t="s">
        <v>77</v>
      </c>
      <c r="J15" s="27" t="s">
        <v>78</v>
      </c>
    </row>
    <row r="16" spans="1:10" x14ac:dyDescent="0.15">
      <c r="A16" s="26" t="s">
        <v>237</v>
      </c>
      <c r="B16" s="26">
        <v>50</v>
      </c>
      <c r="C16" s="26">
        <v>10.5</v>
      </c>
      <c r="D16" s="26">
        <v>0.4</v>
      </c>
      <c r="E16" s="26">
        <v>170</v>
      </c>
      <c r="F16" s="26">
        <v>870</v>
      </c>
      <c r="G16" s="26">
        <v>4</v>
      </c>
      <c r="H16" s="26">
        <v>2</v>
      </c>
      <c r="I16" s="16">
        <f>E16/1000/B16*100</f>
        <v>0.34</v>
      </c>
      <c r="J16" s="16">
        <f>F16/1000/B16*100</f>
        <v>1.7399999999999998</v>
      </c>
    </row>
    <row r="17" spans="1:10" x14ac:dyDescent="0.15">
      <c r="A17" s="26" t="s">
        <v>238</v>
      </c>
      <c r="B17" s="26">
        <v>100</v>
      </c>
      <c r="C17" s="26">
        <v>10.5</v>
      </c>
      <c r="D17" s="26">
        <v>0.4</v>
      </c>
      <c r="E17" s="26">
        <v>290</v>
      </c>
      <c r="F17" s="26">
        <v>1500</v>
      </c>
      <c r="G17" s="26">
        <v>4</v>
      </c>
      <c r="H17" s="26">
        <v>1.6</v>
      </c>
      <c r="I17" s="16">
        <f t="shared" ref="I17:I19" si="0">E17/1000/B17*100</f>
        <v>0.28999999999999998</v>
      </c>
      <c r="J17" s="16">
        <f t="shared" ref="J17:J19" si="1">F17/1000/B17*100</f>
        <v>1.5</v>
      </c>
    </row>
    <row r="18" spans="1:10" x14ac:dyDescent="0.15">
      <c r="A18" s="26" t="s">
        <v>240</v>
      </c>
      <c r="B18" s="26">
        <v>160</v>
      </c>
      <c r="C18" s="26">
        <v>10.5</v>
      </c>
      <c r="D18" s="26">
        <v>0.4</v>
      </c>
      <c r="E18" s="26">
        <v>400</v>
      </c>
      <c r="F18" s="26">
        <v>2200</v>
      </c>
      <c r="G18" s="26">
        <v>4</v>
      </c>
      <c r="H18" s="26">
        <v>1.4</v>
      </c>
      <c r="I18" s="16">
        <f t="shared" si="0"/>
        <v>0.25</v>
      </c>
      <c r="J18" s="16">
        <f t="shared" si="1"/>
        <v>1.3750000000000002</v>
      </c>
    </row>
    <row r="19" spans="1:10" x14ac:dyDescent="0.15">
      <c r="A19" s="26" t="s">
        <v>239</v>
      </c>
      <c r="B19" s="26">
        <v>200</v>
      </c>
      <c r="C19" s="26">
        <v>10.5</v>
      </c>
      <c r="D19" s="26">
        <v>0.4</v>
      </c>
      <c r="E19" s="26">
        <v>480</v>
      </c>
      <c r="F19" s="26">
        <v>2600</v>
      </c>
      <c r="G19" s="26">
        <v>4</v>
      </c>
      <c r="H19" s="26">
        <v>1.3</v>
      </c>
      <c r="I19" s="16">
        <f t="shared" si="0"/>
        <v>0.24</v>
      </c>
      <c r="J19" s="16">
        <f t="shared" si="1"/>
        <v>1.3</v>
      </c>
    </row>
  </sheetData>
  <phoneticPr fontId="15" type="noConversion"/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8"/>
  <sheetViews>
    <sheetView tabSelected="1" workbookViewId="0">
      <selection activeCell="I10" sqref="I10"/>
    </sheetView>
  </sheetViews>
  <sheetFormatPr defaultColWidth="9" defaultRowHeight="13.5" x14ac:dyDescent="0.15"/>
  <cols>
    <col min="1" max="1" width="10" customWidth="1"/>
    <col min="2" max="2" width="13.375" customWidth="1"/>
    <col min="3" max="3" width="14.625" customWidth="1"/>
    <col min="4" max="4" width="11.5" customWidth="1"/>
    <col min="5" max="5" width="9.125" customWidth="1"/>
    <col min="6" max="7" width="9.625" customWidth="1"/>
    <col min="8" max="8" width="10" customWidth="1"/>
    <col min="9" max="9" width="9.75" customWidth="1"/>
    <col min="10" max="11" width="9.5" customWidth="1"/>
  </cols>
  <sheetData>
    <row r="1" spans="1:11" ht="31.9" customHeight="1" x14ac:dyDescent="0.15">
      <c r="A1" s="19" t="s">
        <v>2</v>
      </c>
    </row>
    <row r="2" spans="1:11" ht="31.9" customHeight="1" x14ac:dyDescent="0.15">
      <c r="A2" s="5" t="s">
        <v>45</v>
      </c>
    </row>
    <row r="4" spans="1:11" s="1" customFormat="1" ht="27" x14ac:dyDescent="0.15">
      <c r="A4" s="2" t="s">
        <v>79</v>
      </c>
      <c r="B4" s="2" t="s">
        <v>66</v>
      </c>
      <c r="C4" s="2" t="s">
        <v>67</v>
      </c>
      <c r="D4" s="3" t="s">
        <v>63</v>
      </c>
      <c r="E4" s="3" t="s">
        <v>73</v>
      </c>
    </row>
    <row r="5" spans="1:11" x14ac:dyDescent="0.15">
      <c r="A5" s="4" t="s">
        <v>51</v>
      </c>
      <c r="B5" s="4" t="str">
        <f>A2</f>
        <v>nc10kVbus</v>
      </c>
      <c r="C5" s="4" t="s">
        <v>46</v>
      </c>
      <c r="D5" s="5" t="s">
        <v>250</v>
      </c>
      <c r="E5" s="5">
        <v>0.8</v>
      </c>
    </row>
    <row r="6" spans="1:11" x14ac:dyDescent="0.15">
      <c r="A6" s="4" t="s">
        <v>52</v>
      </c>
      <c r="B6" s="4" t="s">
        <v>46</v>
      </c>
      <c r="C6" s="4" t="s">
        <v>47</v>
      </c>
      <c r="D6" s="5" t="s">
        <v>250</v>
      </c>
      <c r="E6" s="5">
        <v>0.7</v>
      </c>
    </row>
    <row r="7" spans="1:11" x14ac:dyDescent="0.15">
      <c r="A7" s="4" t="s">
        <v>53</v>
      </c>
      <c r="B7" s="4" t="s">
        <v>47</v>
      </c>
      <c r="C7" s="4" t="s">
        <v>48</v>
      </c>
      <c r="D7" s="5" t="s">
        <v>250</v>
      </c>
      <c r="E7" s="5">
        <v>1</v>
      </c>
    </row>
    <row r="8" spans="1:11" x14ac:dyDescent="0.15">
      <c r="A8" s="4" t="s">
        <v>54</v>
      </c>
      <c r="B8" s="4" t="s">
        <v>47</v>
      </c>
      <c r="C8" s="4" t="s">
        <v>49</v>
      </c>
      <c r="D8" s="5" t="s">
        <v>250</v>
      </c>
      <c r="E8" s="5">
        <v>0.3</v>
      </c>
    </row>
    <row r="9" spans="1:11" x14ac:dyDescent="0.15">
      <c r="A9" s="4" t="s">
        <v>55</v>
      </c>
      <c r="B9" s="4" t="s">
        <v>49</v>
      </c>
      <c r="C9" s="4" t="s">
        <v>50</v>
      </c>
      <c r="D9" s="5" t="s">
        <v>250</v>
      </c>
      <c r="E9" s="14">
        <v>0.5</v>
      </c>
    </row>
    <row r="10" spans="1:11" x14ac:dyDescent="0.15">
      <c r="A10" s="4"/>
      <c r="B10" s="4"/>
      <c r="C10" s="4"/>
      <c r="D10" s="5"/>
      <c r="E10" s="5"/>
      <c r="F10" s="5"/>
      <c r="G10" s="5"/>
      <c r="H10" s="5"/>
      <c r="I10" s="5"/>
      <c r="J10" s="5"/>
      <c r="K10" s="5"/>
    </row>
    <row r="11" spans="1:11" ht="60.6" customHeight="1" x14ac:dyDescent="0.15">
      <c r="A11" s="2" t="s">
        <v>80</v>
      </c>
      <c r="B11" s="2" t="s">
        <v>65</v>
      </c>
      <c r="C11" s="2" t="s">
        <v>68</v>
      </c>
      <c r="D11" s="3" t="s">
        <v>249</v>
      </c>
      <c r="E11" s="3" t="s">
        <v>74</v>
      </c>
    </row>
    <row r="12" spans="1:11" x14ac:dyDescent="0.15">
      <c r="A12" s="4" t="s">
        <v>56</v>
      </c>
      <c r="B12" s="4" t="s">
        <v>46</v>
      </c>
      <c r="C12" s="4" t="s">
        <v>56</v>
      </c>
      <c r="D12" s="5" t="s">
        <v>0</v>
      </c>
      <c r="E12" s="5">
        <v>50</v>
      </c>
    </row>
    <row r="13" spans="1:11" x14ac:dyDescent="0.15">
      <c r="A13" s="4" t="s">
        <v>57</v>
      </c>
      <c r="B13" s="4" t="s">
        <v>49</v>
      </c>
      <c r="C13" s="4" t="s">
        <v>57</v>
      </c>
      <c r="D13" s="5" t="s">
        <v>0</v>
      </c>
      <c r="E13" s="5">
        <v>160</v>
      </c>
    </row>
    <row r="14" spans="1:11" x14ac:dyDescent="0.15">
      <c r="A14" s="4" t="s">
        <v>58</v>
      </c>
      <c r="B14" s="4" t="s">
        <v>50</v>
      </c>
      <c r="C14" s="4" t="s">
        <v>58</v>
      </c>
      <c r="D14" s="5" t="s">
        <v>0</v>
      </c>
      <c r="E14" s="5">
        <v>200</v>
      </c>
    </row>
    <row r="15" spans="1:11" x14ac:dyDescent="0.15">
      <c r="A15" s="4" t="s">
        <v>59</v>
      </c>
      <c r="B15" s="4" t="s">
        <v>48</v>
      </c>
      <c r="C15" s="4" t="s">
        <v>59</v>
      </c>
      <c r="D15" s="5" t="s">
        <v>0</v>
      </c>
      <c r="E15" s="5">
        <v>100</v>
      </c>
    </row>
    <row r="16" spans="1:11" x14ac:dyDescent="0.15">
      <c r="A16" s="4"/>
      <c r="B16" s="4"/>
      <c r="C16" s="4"/>
      <c r="D16" s="5"/>
      <c r="E16" s="5"/>
      <c r="F16" s="5"/>
      <c r="G16" s="5"/>
      <c r="H16" s="5"/>
      <c r="I16" s="5"/>
      <c r="J16" s="5"/>
      <c r="K16" s="5"/>
    </row>
    <row r="17" spans="1:11" x14ac:dyDescent="0.15">
      <c r="A17" s="6"/>
      <c r="B17" s="5"/>
      <c r="C17" s="5"/>
      <c r="D17" s="5"/>
      <c r="E17" s="5"/>
      <c r="F17" s="5"/>
      <c r="G17" s="5"/>
      <c r="H17" s="5"/>
      <c r="I17" s="5"/>
      <c r="J17" s="5"/>
      <c r="K17" s="5"/>
    </row>
    <row r="18" spans="1:11" x14ac:dyDescent="0.15">
      <c r="A18" s="6"/>
      <c r="B18" s="5"/>
      <c r="C18" s="5"/>
      <c r="D18" s="5"/>
      <c r="E18" s="5"/>
      <c r="F18" s="5"/>
      <c r="G18" s="5"/>
      <c r="H18" s="5"/>
      <c r="I18" s="5"/>
      <c r="J18" s="5"/>
      <c r="K18" s="5"/>
    </row>
    <row r="19" spans="1:11" x14ac:dyDescent="0.15">
      <c r="A19" s="6"/>
      <c r="B19" s="5"/>
      <c r="C19" s="5"/>
      <c r="D19" s="5"/>
      <c r="E19" s="5"/>
      <c r="F19" s="5"/>
      <c r="G19" s="5"/>
      <c r="H19" s="5"/>
      <c r="I19" s="5"/>
      <c r="J19" s="5"/>
      <c r="K19" s="5"/>
    </row>
    <row r="20" spans="1:11" x14ac:dyDescent="0.15">
      <c r="A20" s="6"/>
      <c r="B20" s="5"/>
      <c r="C20" s="5"/>
      <c r="D20" s="5"/>
      <c r="E20" s="5"/>
      <c r="F20" s="5"/>
      <c r="G20" s="5"/>
      <c r="H20" s="5"/>
      <c r="I20" s="5"/>
      <c r="J20" s="5"/>
      <c r="K20" s="5"/>
    </row>
    <row r="21" spans="1:11" x14ac:dyDescent="0.15">
      <c r="A21" s="6"/>
      <c r="B21" s="5"/>
      <c r="C21" s="5"/>
      <c r="D21" s="5"/>
      <c r="E21" s="5"/>
      <c r="F21" s="5"/>
      <c r="G21" s="5"/>
      <c r="H21" s="5"/>
      <c r="I21" s="5"/>
      <c r="J21" s="5"/>
      <c r="K21" s="5"/>
    </row>
    <row r="22" spans="1:11" x14ac:dyDescent="0.15">
      <c r="A22" s="6"/>
      <c r="B22" s="5"/>
      <c r="C22" s="5"/>
      <c r="D22" s="5"/>
      <c r="E22" s="5"/>
      <c r="F22" s="5"/>
      <c r="G22" s="5"/>
      <c r="H22" s="5"/>
      <c r="I22" s="5"/>
      <c r="J22" s="5"/>
      <c r="K22" s="5"/>
    </row>
    <row r="23" spans="1:11" x14ac:dyDescent="0.15">
      <c r="A23" s="6"/>
      <c r="B23" s="5"/>
      <c r="C23" s="5"/>
      <c r="D23" s="5"/>
      <c r="E23" s="5"/>
      <c r="F23" s="5"/>
      <c r="G23" s="5"/>
      <c r="H23" s="5"/>
      <c r="I23" s="5"/>
      <c r="J23" s="5"/>
      <c r="K23" s="5"/>
    </row>
    <row r="24" spans="1:11" x14ac:dyDescent="0.15">
      <c r="A24" s="6"/>
      <c r="B24" s="5"/>
      <c r="C24" s="5"/>
      <c r="D24" s="5"/>
      <c r="E24" s="5"/>
      <c r="F24" s="5"/>
      <c r="G24" s="5"/>
      <c r="H24" s="5"/>
      <c r="I24" s="5"/>
      <c r="J24" s="5"/>
      <c r="K24" s="5"/>
    </row>
    <row r="25" spans="1:11" x14ac:dyDescent="0.15">
      <c r="A25" s="6"/>
      <c r="B25" s="5"/>
      <c r="C25" s="5"/>
      <c r="D25" s="5"/>
      <c r="E25" s="5"/>
      <c r="F25" s="5"/>
      <c r="G25" s="5"/>
      <c r="H25" s="5"/>
      <c r="I25" s="5"/>
      <c r="J25" s="5"/>
      <c r="K25" s="5"/>
    </row>
    <row r="26" spans="1:11" x14ac:dyDescent="0.15">
      <c r="A26" s="6"/>
      <c r="B26" s="5"/>
      <c r="C26" s="5"/>
      <c r="D26" s="5"/>
      <c r="E26" s="5"/>
      <c r="F26" s="5"/>
      <c r="G26" s="5"/>
      <c r="H26" s="5"/>
      <c r="I26" s="5"/>
      <c r="J26" s="5"/>
      <c r="K26" s="5"/>
    </row>
    <row r="27" spans="1:11" x14ac:dyDescent="0.15">
      <c r="A27" s="6"/>
      <c r="B27" s="5"/>
      <c r="C27" s="5"/>
      <c r="D27" s="5"/>
      <c r="E27" s="5"/>
      <c r="F27" s="5"/>
      <c r="G27" s="5"/>
      <c r="H27" s="5"/>
      <c r="I27" s="5"/>
      <c r="J27" s="5"/>
      <c r="K27" s="5"/>
    </row>
    <row r="28" spans="1:11" x14ac:dyDescent="0.15">
      <c r="A28" s="6"/>
      <c r="B28" s="5"/>
      <c r="C28" s="5"/>
      <c r="D28" s="5"/>
      <c r="E28" s="5"/>
      <c r="F28" s="5"/>
      <c r="G28" s="5"/>
      <c r="H28" s="5"/>
      <c r="I28" s="5"/>
      <c r="J28" s="5"/>
      <c r="K28" s="5"/>
    </row>
    <row r="29" spans="1:11" x14ac:dyDescent="0.15">
      <c r="A29" s="6"/>
      <c r="B29" s="5"/>
      <c r="C29" s="5"/>
      <c r="D29" s="5"/>
      <c r="E29" s="5"/>
      <c r="F29" s="5"/>
      <c r="G29" s="5"/>
      <c r="H29" s="5"/>
      <c r="I29" s="5"/>
      <c r="J29" s="5"/>
      <c r="K29" s="5"/>
    </row>
    <row r="30" spans="1:11" x14ac:dyDescent="0.15">
      <c r="A30" s="6"/>
      <c r="B30" s="5"/>
      <c r="C30" s="5"/>
      <c r="D30" s="5"/>
      <c r="E30" s="5"/>
      <c r="F30" s="5"/>
      <c r="G30" s="5"/>
      <c r="H30" s="5"/>
      <c r="I30" s="5"/>
      <c r="J30" s="5"/>
      <c r="K30" s="5"/>
    </row>
    <row r="31" spans="1:11" x14ac:dyDescent="0.15">
      <c r="A31" s="6"/>
      <c r="B31" s="5"/>
      <c r="C31" s="5"/>
      <c r="D31" s="5"/>
      <c r="E31" s="5"/>
      <c r="F31" s="5"/>
      <c r="G31" s="5"/>
      <c r="H31" s="5"/>
      <c r="I31" s="5"/>
      <c r="J31" s="5"/>
      <c r="K31" s="5"/>
    </row>
    <row r="32" spans="1:11" x14ac:dyDescent="0.15">
      <c r="A32" s="6"/>
      <c r="B32" s="5"/>
      <c r="C32" s="5"/>
      <c r="D32" s="5"/>
      <c r="E32" s="5"/>
      <c r="F32" s="5"/>
      <c r="G32" s="5"/>
      <c r="H32" s="5"/>
      <c r="I32" s="5"/>
      <c r="J32" s="5"/>
      <c r="K32" s="5"/>
    </row>
    <row r="33" spans="1:11" x14ac:dyDescent="0.15">
      <c r="A33" s="6"/>
      <c r="B33" s="5"/>
      <c r="C33" s="5"/>
      <c r="D33" s="5"/>
      <c r="E33" s="5"/>
      <c r="F33" s="5"/>
      <c r="G33" s="5"/>
      <c r="H33" s="5"/>
      <c r="I33" s="5"/>
      <c r="J33" s="5"/>
      <c r="K33" s="5"/>
    </row>
    <row r="34" spans="1:11" x14ac:dyDescent="0.15">
      <c r="A34" s="6"/>
      <c r="B34" s="5"/>
      <c r="C34" s="5"/>
      <c r="D34" s="5"/>
      <c r="E34" s="5"/>
      <c r="F34" s="5"/>
      <c r="G34" s="5"/>
      <c r="H34" s="5"/>
      <c r="I34" s="5"/>
      <c r="J34" s="5"/>
      <c r="K34" s="5"/>
    </row>
    <row r="35" spans="1:11" x14ac:dyDescent="0.15">
      <c r="A35" s="6"/>
      <c r="B35" s="5"/>
      <c r="C35" s="5"/>
      <c r="D35" s="5"/>
      <c r="E35" s="5"/>
      <c r="F35" s="5"/>
      <c r="G35" s="5"/>
      <c r="H35" s="5"/>
      <c r="I35" s="5"/>
      <c r="J35" s="5"/>
      <c r="K35" s="5"/>
    </row>
    <row r="36" spans="1:11" x14ac:dyDescent="0.15">
      <c r="A36" s="6"/>
      <c r="B36" s="5"/>
      <c r="C36" s="5"/>
      <c r="D36" s="5"/>
      <c r="E36" s="5"/>
      <c r="F36" s="5"/>
      <c r="G36" s="5"/>
      <c r="H36" s="5"/>
      <c r="I36" s="5"/>
      <c r="J36" s="5"/>
      <c r="K36" s="5"/>
    </row>
    <row r="37" spans="1:11" x14ac:dyDescent="0.15">
      <c r="A37" s="6"/>
      <c r="B37" s="5"/>
      <c r="C37" s="5"/>
      <c r="D37" s="5"/>
      <c r="E37" s="5"/>
      <c r="F37" s="5"/>
      <c r="G37" s="5"/>
      <c r="H37" s="5"/>
      <c r="I37" s="5"/>
      <c r="J37" s="5"/>
      <c r="K37" s="5"/>
    </row>
    <row r="38" spans="1:11" x14ac:dyDescent="0.15">
      <c r="A38" s="6"/>
      <c r="B38" s="5"/>
      <c r="C38" s="5"/>
      <c r="D38" s="5"/>
      <c r="E38" s="5"/>
      <c r="F38" s="5"/>
      <c r="G38" s="5"/>
      <c r="H38" s="5"/>
      <c r="I38" s="5"/>
      <c r="J38" s="5"/>
      <c r="K38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6A1C8-33DC-45BB-95A9-6596733D3AE8}">
  <sheetPr codeName="Sheet8"/>
  <dimension ref="A1:E5"/>
  <sheetViews>
    <sheetView workbookViewId="0">
      <selection activeCell="E5" sqref="E5"/>
    </sheetView>
  </sheetViews>
  <sheetFormatPr defaultRowHeight="13.5" x14ac:dyDescent="0.15"/>
  <cols>
    <col min="1" max="2" width="10.75" customWidth="1"/>
    <col min="3" max="3" width="15.25" customWidth="1"/>
    <col min="4" max="4" width="15.5" customWidth="1"/>
  </cols>
  <sheetData>
    <row r="1" spans="1:5" ht="32.25" customHeight="1" x14ac:dyDescent="0.15">
      <c r="A1" s="2" t="s">
        <v>241</v>
      </c>
      <c r="B1" s="2" t="s">
        <v>242</v>
      </c>
      <c r="C1" s="3" t="s">
        <v>192</v>
      </c>
      <c r="D1" s="3" t="s">
        <v>243</v>
      </c>
      <c r="E1" s="3" t="s">
        <v>244</v>
      </c>
    </row>
    <row r="2" spans="1:5" x14ac:dyDescent="0.15">
      <c r="A2" s="4" t="s">
        <v>56</v>
      </c>
      <c r="B2" s="4" t="s">
        <v>56</v>
      </c>
      <c r="C2" s="4">
        <v>0.4</v>
      </c>
      <c r="D2" s="4">
        <v>25</v>
      </c>
      <c r="E2" s="4">
        <v>12.5</v>
      </c>
    </row>
    <row r="3" spans="1:5" x14ac:dyDescent="0.15">
      <c r="A3" s="4" t="s">
        <v>57</v>
      </c>
      <c r="B3" s="4" t="s">
        <v>57</v>
      </c>
      <c r="C3" s="4">
        <v>0.4</v>
      </c>
      <c r="D3" s="4">
        <v>80</v>
      </c>
      <c r="E3" s="4">
        <v>40</v>
      </c>
    </row>
    <row r="4" spans="1:5" x14ac:dyDescent="0.15">
      <c r="A4" s="4" t="s">
        <v>58</v>
      </c>
      <c r="B4" s="4" t="s">
        <v>58</v>
      </c>
      <c r="C4" s="4">
        <v>0.4</v>
      </c>
      <c r="D4" s="4">
        <v>100</v>
      </c>
      <c r="E4" s="4">
        <v>50</v>
      </c>
    </row>
    <row r="5" spans="1:5" x14ac:dyDescent="0.15">
      <c r="A5" s="4" t="s">
        <v>59</v>
      </c>
      <c r="B5" s="4" t="s">
        <v>59</v>
      </c>
      <c r="C5" s="4">
        <v>0.4</v>
      </c>
      <c r="D5" s="4">
        <v>50</v>
      </c>
      <c r="E5" s="4">
        <v>25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V65"/>
  <sheetViews>
    <sheetView workbookViewId="0">
      <selection activeCell="C2" sqref="C2"/>
    </sheetView>
  </sheetViews>
  <sheetFormatPr defaultColWidth="9" defaultRowHeight="13.5" x14ac:dyDescent="0.15"/>
  <cols>
    <col min="1" max="1" width="13.5" customWidth="1"/>
    <col min="2" max="2" width="13.375" customWidth="1"/>
    <col min="3" max="3" width="11.75" customWidth="1"/>
    <col min="4" max="4" width="13.875" customWidth="1"/>
    <col min="5" max="6" width="13.125" bestFit="1" customWidth="1"/>
    <col min="7" max="7" width="12.125" bestFit="1" customWidth="1"/>
    <col min="8" max="8" width="11.875" customWidth="1"/>
    <col min="9" max="9" width="9.625" style="4" customWidth="1"/>
    <col min="10" max="10" width="11.25" style="4" customWidth="1"/>
    <col min="11" max="11" width="11" customWidth="1"/>
    <col min="12" max="12" width="12.25" customWidth="1"/>
    <col min="13" max="13" width="15.75" customWidth="1"/>
    <col min="14" max="14" width="14.375" customWidth="1"/>
    <col min="15" max="15" width="14.125" customWidth="1"/>
    <col min="16" max="16" width="12.375" customWidth="1"/>
    <col min="17" max="18" width="12.75" customWidth="1"/>
    <col min="19" max="19" width="12.875" style="4" customWidth="1"/>
    <col min="20" max="20" width="11.625" style="4" customWidth="1"/>
    <col min="21" max="21" width="11.875" customWidth="1"/>
    <col min="22" max="22" width="13.25" customWidth="1"/>
  </cols>
  <sheetData>
    <row r="1" spans="1:22" s="9" customFormat="1" ht="37.9" customHeight="1" x14ac:dyDescent="0.15">
      <c r="A1" s="7" t="s">
        <v>208</v>
      </c>
      <c r="B1" s="7" t="s">
        <v>1</v>
      </c>
      <c r="C1" s="7" t="s">
        <v>212</v>
      </c>
      <c r="D1" s="7" t="s">
        <v>213</v>
      </c>
      <c r="E1" s="13"/>
      <c r="F1" s="13"/>
      <c r="G1" s="13"/>
      <c r="H1" s="13"/>
      <c r="I1" s="13"/>
      <c r="J1" s="13"/>
      <c r="K1" s="13"/>
      <c r="L1" s="13"/>
      <c r="O1" s="10"/>
    </row>
    <row r="2" spans="1:22" x14ac:dyDescent="0.15">
      <c r="A2" s="25" t="s">
        <v>209</v>
      </c>
      <c r="B2" s="11">
        <v>0</v>
      </c>
      <c r="C2" s="8">
        <v>200</v>
      </c>
      <c r="D2" s="8">
        <f>C2*0.3263</f>
        <v>65.259999999999991</v>
      </c>
    </row>
    <row r="3" spans="1:22" x14ac:dyDescent="0.15">
      <c r="A3" s="11"/>
      <c r="B3" s="11">
        <v>4.1666666666666664E-2</v>
      </c>
      <c r="C3" s="8">
        <v>220</v>
      </c>
      <c r="D3" s="8">
        <f t="shared" ref="D3:D25" si="0">C3*0.3263</f>
        <v>71.786000000000001</v>
      </c>
    </row>
    <row r="4" spans="1:22" x14ac:dyDescent="0.15">
      <c r="A4" s="11"/>
      <c r="B4" s="11">
        <v>8.3333333333333329E-2</v>
      </c>
      <c r="C4" s="8">
        <v>240</v>
      </c>
      <c r="D4" s="8">
        <f t="shared" si="0"/>
        <v>78.311999999999998</v>
      </c>
    </row>
    <row r="5" spans="1:22" x14ac:dyDescent="0.15">
      <c r="A5" s="11"/>
      <c r="B5" s="11">
        <v>0.125</v>
      </c>
      <c r="C5" s="8">
        <v>260</v>
      </c>
      <c r="D5" s="8">
        <f t="shared" si="0"/>
        <v>84.837999999999994</v>
      </c>
      <c r="N5" s="6"/>
    </row>
    <row r="6" spans="1:22" x14ac:dyDescent="0.15">
      <c r="A6" s="11"/>
      <c r="B6" s="11">
        <v>0.16666666666666666</v>
      </c>
      <c r="C6" s="8">
        <v>280</v>
      </c>
      <c r="D6" s="8">
        <f t="shared" si="0"/>
        <v>91.36399999999999</v>
      </c>
      <c r="N6" s="6"/>
    </row>
    <row r="7" spans="1:22" x14ac:dyDescent="0.15">
      <c r="A7" s="11"/>
      <c r="B7" s="11">
        <v>0.20833333333333334</v>
      </c>
      <c r="C7" s="8">
        <v>300</v>
      </c>
      <c r="D7" s="8">
        <f t="shared" si="0"/>
        <v>97.89</v>
      </c>
      <c r="N7" s="6"/>
    </row>
    <row r="8" spans="1:22" x14ac:dyDescent="0.15">
      <c r="A8" s="11"/>
      <c r="B8" s="11">
        <v>0.25</v>
      </c>
      <c r="C8" s="8">
        <v>320</v>
      </c>
      <c r="D8" s="8">
        <f t="shared" si="0"/>
        <v>104.416</v>
      </c>
      <c r="N8" s="6"/>
    </row>
    <row r="9" spans="1:22" x14ac:dyDescent="0.15">
      <c r="A9" s="11"/>
      <c r="B9" s="11">
        <v>0.29166666666666669</v>
      </c>
      <c r="C9" s="8">
        <v>340</v>
      </c>
      <c r="D9" s="8">
        <f t="shared" si="0"/>
        <v>110.94199999999999</v>
      </c>
      <c r="N9" s="6"/>
    </row>
    <row r="10" spans="1:22" x14ac:dyDescent="0.15">
      <c r="A10" s="11"/>
      <c r="B10" s="11">
        <v>0.33333333333333331</v>
      </c>
      <c r="C10" s="8">
        <v>360</v>
      </c>
      <c r="D10" s="8">
        <f t="shared" si="0"/>
        <v>117.46799999999999</v>
      </c>
      <c r="N10" s="6"/>
    </row>
    <row r="11" spans="1:22" x14ac:dyDescent="0.15">
      <c r="A11" s="11"/>
      <c r="B11" s="11">
        <v>0.375</v>
      </c>
      <c r="C11" s="8">
        <v>345</v>
      </c>
      <c r="D11" s="8">
        <f t="shared" si="0"/>
        <v>112.5735</v>
      </c>
      <c r="N11" s="6"/>
      <c r="S11"/>
      <c r="T11"/>
      <c r="U11" s="4"/>
      <c r="V11" s="4"/>
    </row>
    <row r="12" spans="1:22" x14ac:dyDescent="0.15">
      <c r="A12" s="11"/>
      <c r="B12" s="11">
        <v>0.41666666666666669</v>
      </c>
      <c r="C12" s="8">
        <v>330</v>
      </c>
      <c r="D12" s="8">
        <f t="shared" si="0"/>
        <v>107.67899999999999</v>
      </c>
      <c r="N12" s="6"/>
    </row>
    <row r="13" spans="1:22" x14ac:dyDescent="0.15">
      <c r="A13" s="11"/>
      <c r="B13" s="11">
        <v>0.45833333333333331</v>
      </c>
      <c r="C13" s="8">
        <v>315</v>
      </c>
      <c r="D13" s="8">
        <f t="shared" si="0"/>
        <v>102.78449999999999</v>
      </c>
      <c r="N13" s="6"/>
    </row>
    <row r="14" spans="1:22" x14ac:dyDescent="0.15">
      <c r="A14" s="11"/>
      <c r="B14" s="11">
        <v>0.5</v>
      </c>
      <c r="C14" s="8">
        <v>300</v>
      </c>
      <c r="D14" s="8">
        <f t="shared" si="0"/>
        <v>97.89</v>
      </c>
    </row>
    <row r="15" spans="1:22" x14ac:dyDescent="0.15">
      <c r="A15" s="11"/>
      <c r="B15" s="11">
        <v>0.54166666666666663</v>
      </c>
      <c r="C15" s="8">
        <v>285</v>
      </c>
      <c r="D15" s="8">
        <f t="shared" si="0"/>
        <v>92.995499999999993</v>
      </c>
    </row>
    <row r="16" spans="1:22" x14ac:dyDescent="0.15">
      <c r="A16" s="11"/>
      <c r="B16" s="11">
        <v>0.58333333333333337</v>
      </c>
      <c r="C16" s="8">
        <v>270</v>
      </c>
      <c r="D16" s="8">
        <f t="shared" si="0"/>
        <v>88.100999999999999</v>
      </c>
    </row>
    <row r="17" spans="1:20" x14ac:dyDescent="0.15">
      <c r="A17" s="11"/>
      <c r="B17" s="11">
        <v>0.625</v>
      </c>
      <c r="C17" s="8">
        <v>255</v>
      </c>
      <c r="D17" s="8">
        <f t="shared" si="0"/>
        <v>83.206499999999991</v>
      </c>
    </row>
    <row r="18" spans="1:20" x14ac:dyDescent="0.15">
      <c r="A18" s="11"/>
      <c r="B18" s="11">
        <v>0.66666666666666663</v>
      </c>
      <c r="C18" s="8">
        <v>240</v>
      </c>
      <c r="D18" s="8">
        <f t="shared" si="0"/>
        <v>78.311999999999998</v>
      </c>
    </row>
    <row r="19" spans="1:20" x14ac:dyDescent="0.15">
      <c r="A19" s="11"/>
      <c r="B19" s="11">
        <v>0.70833333333333337</v>
      </c>
      <c r="C19" s="8">
        <v>225</v>
      </c>
      <c r="D19" s="8">
        <f t="shared" si="0"/>
        <v>73.41749999999999</v>
      </c>
    </row>
    <row r="20" spans="1:20" x14ac:dyDescent="0.15">
      <c r="A20" s="11"/>
      <c r="B20" s="11">
        <v>0.75</v>
      </c>
      <c r="C20" s="8">
        <v>210</v>
      </c>
      <c r="D20" s="8">
        <f t="shared" si="0"/>
        <v>68.522999999999996</v>
      </c>
    </row>
    <row r="21" spans="1:20" x14ac:dyDescent="0.15">
      <c r="A21" s="11"/>
      <c r="B21" s="11">
        <v>0.79166666666666663</v>
      </c>
      <c r="C21" s="8">
        <v>195</v>
      </c>
      <c r="D21" s="8">
        <f t="shared" si="0"/>
        <v>63.628499999999995</v>
      </c>
    </row>
    <row r="22" spans="1:20" x14ac:dyDescent="0.15">
      <c r="A22" s="11"/>
      <c r="B22" s="11">
        <v>0.83333333333333337</v>
      </c>
      <c r="C22" s="8">
        <v>180</v>
      </c>
      <c r="D22" s="8">
        <f t="shared" si="0"/>
        <v>58.733999999999995</v>
      </c>
    </row>
    <row r="23" spans="1:20" x14ac:dyDescent="0.15">
      <c r="A23" s="11"/>
      <c r="B23" s="11">
        <v>0.875</v>
      </c>
      <c r="C23" s="8">
        <v>200</v>
      </c>
      <c r="D23" s="8">
        <f t="shared" si="0"/>
        <v>65.259999999999991</v>
      </c>
    </row>
    <row r="24" spans="1:20" x14ac:dyDescent="0.15">
      <c r="A24" s="11"/>
      <c r="B24" s="11">
        <v>0.91666666666666663</v>
      </c>
      <c r="C24" s="8">
        <v>215</v>
      </c>
      <c r="D24" s="8">
        <f t="shared" si="0"/>
        <v>70.154499999999999</v>
      </c>
    </row>
    <row r="25" spans="1:20" x14ac:dyDescent="0.15">
      <c r="A25" s="11"/>
      <c r="B25" s="11">
        <v>0.95833333333333337</v>
      </c>
      <c r="C25" s="8">
        <v>230</v>
      </c>
      <c r="D25" s="8">
        <f t="shared" si="0"/>
        <v>75.048999999999992</v>
      </c>
    </row>
    <row r="26" spans="1:20" x14ac:dyDescent="0.15">
      <c r="I26"/>
      <c r="J26"/>
      <c r="S26"/>
      <c r="T26"/>
    </row>
    <row r="27" spans="1:20" x14ac:dyDescent="0.15">
      <c r="I27"/>
      <c r="J27"/>
      <c r="S27"/>
      <c r="T27"/>
    </row>
    <row r="28" spans="1:20" x14ac:dyDescent="0.15">
      <c r="D28" s="16"/>
      <c r="I28"/>
      <c r="J28"/>
      <c r="S28"/>
      <c r="T28"/>
    </row>
    <row r="29" spans="1:20" ht="37.5" x14ac:dyDescent="0.15">
      <c r="A29" s="7" t="s">
        <v>207</v>
      </c>
      <c r="B29" s="7" t="s">
        <v>1</v>
      </c>
      <c r="C29" s="7" t="s">
        <v>211</v>
      </c>
      <c r="I29"/>
      <c r="J29"/>
      <c r="S29"/>
      <c r="T29"/>
    </row>
    <row r="30" spans="1:20" x14ac:dyDescent="0.15">
      <c r="A30" s="25" t="s">
        <v>210</v>
      </c>
      <c r="B30" s="11">
        <v>0</v>
      </c>
      <c r="C30" s="8">
        <v>10.1</v>
      </c>
      <c r="I30"/>
      <c r="J30"/>
      <c r="S30"/>
      <c r="T30"/>
    </row>
    <row r="31" spans="1:20" x14ac:dyDescent="0.15">
      <c r="A31" s="11"/>
      <c r="B31" s="11">
        <v>4.1666666666666664E-2</v>
      </c>
      <c r="C31" s="8">
        <v>10.199999999999999</v>
      </c>
      <c r="I31"/>
      <c r="J31"/>
      <c r="S31"/>
      <c r="T31"/>
    </row>
    <row r="32" spans="1:20" x14ac:dyDescent="0.15">
      <c r="A32" s="11"/>
      <c r="B32" s="11">
        <v>8.3333333333333329E-2</v>
      </c>
      <c r="C32" s="8">
        <v>10.3</v>
      </c>
      <c r="I32"/>
      <c r="J32"/>
      <c r="S32"/>
      <c r="T32"/>
    </row>
    <row r="33" spans="1:20" x14ac:dyDescent="0.15">
      <c r="A33" s="11"/>
      <c r="B33" s="11">
        <v>0.125</v>
      </c>
      <c r="C33" s="8">
        <v>10.4</v>
      </c>
      <c r="I33"/>
      <c r="J33"/>
      <c r="S33"/>
      <c r="T33"/>
    </row>
    <row r="34" spans="1:20" x14ac:dyDescent="0.15">
      <c r="A34" s="11"/>
      <c r="B34" s="11">
        <v>0.16666666666666666</v>
      </c>
      <c r="C34" s="8">
        <v>10.5</v>
      </c>
      <c r="I34"/>
      <c r="J34"/>
      <c r="S34"/>
      <c r="T34"/>
    </row>
    <row r="35" spans="1:20" x14ac:dyDescent="0.15">
      <c r="A35" s="11"/>
      <c r="B35" s="11">
        <v>0.20833333333333334</v>
      </c>
      <c r="C35" s="8">
        <v>10.6</v>
      </c>
      <c r="I35"/>
      <c r="J35"/>
      <c r="S35"/>
      <c r="T35"/>
    </row>
    <row r="36" spans="1:20" x14ac:dyDescent="0.15">
      <c r="A36" s="11"/>
      <c r="B36" s="11">
        <v>0.25</v>
      </c>
      <c r="C36" s="8">
        <v>10.7</v>
      </c>
      <c r="I36"/>
      <c r="J36"/>
      <c r="S36"/>
      <c r="T36"/>
    </row>
    <row r="37" spans="1:20" x14ac:dyDescent="0.15">
      <c r="A37" s="11"/>
      <c r="B37" s="11">
        <v>0.29166666666666669</v>
      </c>
      <c r="C37" s="8">
        <v>10.8</v>
      </c>
      <c r="I37"/>
      <c r="J37"/>
      <c r="S37"/>
      <c r="T37"/>
    </row>
    <row r="38" spans="1:20" x14ac:dyDescent="0.15">
      <c r="A38" s="11"/>
      <c r="B38" s="11">
        <v>0.33333333333333331</v>
      </c>
      <c r="C38" s="8">
        <v>10.9</v>
      </c>
      <c r="I38"/>
      <c r="J38"/>
      <c r="S38"/>
      <c r="T38"/>
    </row>
    <row r="39" spans="1:20" x14ac:dyDescent="0.15">
      <c r="A39" s="11"/>
      <c r="B39" s="11">
        <v>0.375</v>
      </c>
      <c r="C39" s="8">
        <v>10.8</v>
      </c>
      <c r="I39"/>
      <c r="J39"/>
      <c r="S39"/>
      <c r="T39"/>
    </row>
    <row r="40" spans="1:20" x14ac:dyDescent="0.15">
      <c r="A40" s="11"/>
      <c r="B40" s="11">
        <v>0.41666666666666669</v>
      </c>
      <c r="C40" s="8">
        <v>10.7</v>
      </c>
      <c r="I40"/>
      <c r="J40"/>
      <c r="S40"/>
      <c r="T40"/>
    </row>
    <row r="41" spans="1:20" x14ac:dyDescent="0.15">
      <c r="A41" s="11"/>
      <c r="B41" s="11">
        <v>0.45833333333333331</v>
      </c>
      <c r="C41" s="8">
        <v>10.6</v>
      </c>
      <c r="I41"/>
      <c r="J41"/>
      <c r="S41"/>
      <c r="T41"/>
    </row>
    <row r="42" spans="1:20" x14ac:dyDescent="0.15">
      <c r="A42" s="11"/>
      <c r="B42" s="11">
        <v>0.5</v>
      </c>
      <c r="C42" s="8">
        <v>10.5</v>
      </c>
      <c r="I42"/>
      <c r="J42"/>
      <c r="S42"/>
      <c r="T42"/>
    </row>
    <row r="43" spans="1:20" x14ac:dyDescent="0.15">
      <c r="A43" s="11"/>
      <c r="B43" s="11">
        <v>0.54166666666666663</v>
      </c>
      <c r="C43" s="8">
        <v>10.4</v>
      </c>
      <c r="I43"/>
      <c r="J43"/>
      <c r="S43"/>
      <c r="T43"/>
    </row>
    <row r="44" spans="1:20" x14ac:dyDescent="0.15">
      <c r="A44" s="11"/>
      <c r="B44" s="11">
        <v>0.58333333333333337</v>
      </c>
      <c r="C44" s="8">
        <v>10.3</v>
      </c>
      <c r="I44"/>
      <c r="J44"/>
      <c r="S44"/>
      <c r="T44"/>
    </row>
    <row r="45" spans="1:20" x14ac:dyDescent="0.15">
      <c r="A45" s="11"/>
      <c r="B45" s="11">
        <v>0.625</v>
      </c>
      <c r="C45" s="8">
        <v>10.199999999999999</v>
      </c>
      <c r="I45"/>
      <c r="J45"/>
      <c r="S45"/>
      <c r="T45"/>
    </row>
    <row r="46" spans="1:20" x14ac:dyDescent="0.15">
      <c r="A46" s="11"/>
      <c r="B46" s="11">
        <v>0.66666666666666663</v>
      </c>
      <c r="C46" s="8">
        <v>10.1</v>
      </c>
      <c r="I46"/>
      <c r="J46"/>
      <c r="S46"/>
      <c r="T46"/>
    </row>
    <row r="47" spans="1:20" x14ac:dyDescent="0.15">
      <c r="A47" s="11"/>
      <c r="B47" s="11">
        <v>0.70833333333333337</v>
      </c>
      <c r="C47" s="8">
        <v>10.199999999999999</v>
      </c>
      <c r="I47"/>
      <c r="J47"/>
      <c r="S47"/>
      <c r="T47"/>
    </row>
    <row r="48" spans="1:20" x14ac:dyDescent="0.15">
      <c r="A48" s="11"/>
      <c r="B48" s="11">
        <v>0.75</v>
      </c>
      <c r="C48" s="8">
        <v>10.3</v>
      </c>
      <c r="I48"/>
      <c r="J48"/>
      <c r="S48"/>
      <c r="T48"/>
    </row>
    <row r="49" spans="1:20" x14ac:dyDescent="0.15">
      <c r="A49" s="11"/>
      <c r="B49" s="11">
        <v>0.79166666666666663</v>
      </c>
      <c r="C49" s="8">
        <v>10.4</v>
      </c>
      <c r="I49"/>
      <c r="J49"/>
      <c r="S49"/>
      <c r="T49"/>
    </row>
    <row r="50" spans="1:20" x14ac:dyDescent="0.15">
      <c r="A50" s="11"/>
      <c r="B50" s="11">
        <v>0.83333333333333337</v>
      </c>
      <c r="C50" s="8">
        <v>10.5</v>
      </c>
      <c r="I50"/>
      <c r="J50"/>
      <c r="S50"/>
      <c r="T50"/>
    </row>
    <row r="51" spans="1:20" x14ac:dyDescent="0.15">
      <c r="A51" s="11"/>
      <c r="B51" s="11">
        <v>0.875</v>
      </c>
      <c r="C51" s="8">
        <v>10.6</v>
      </c>
      <c r="I51"/>
      <c r="J51"/>
      <c r="S51"/>
      <c r="T51"/>
    </row>
    <row r="52" spans="1:20" x14ac:dyDescent="0.15">
      <c r="A52" s="11"/>
      <c r="B52" s="11">
        <v>0.91666666666666663</v>
      </c>
      <c r="C52" s="8">
        <v>10.7</v>
      </c>
      <c r="I52"/>
      <c r="J52"/>
      <c r="S52"/>
      <c r="T52"/>
    </row>
    <row r="53" spans="1:20" x14ac:dyDescent="0.15">
      <c r="A53" s="11"/>
      <c r="B53" s="11">
        <v>0.95833333333333337</v>
      </c>
      <c r="C53" s="8">
        <v>10.8</v>
      </c>
      <c r="I53"/>
      <c r="J53"/>
      <c r="S53"/>
      <c r="T53"/>
    </row>
    <row r="54" spans="1:20" x14ac:dyDescent="0.15">
      <c r="A54" s="12"/>
      <c r="B54" s="12"/>
      <c r="I54"/>
      <c r="J54"/>
      <c r="S54"/>
      <c r="T54"/>
    </row>
    <row r="55" spans="1:20" x14ac:dyDescent="0.15">
      <c r="A55" s="8" t="s">
        <v>5</v>
      </c>
      <c r="B55" s="8"/>
      <c r="C55" s="8"/>
      <c r="D55" s="8"/>
      <c r="E55" s="8"/>
      <c r="F55" s="8"/>
      <c r="I55"/>
      <c r="J55"/>
      <c r="S55"/>
      <c r="T55"/>
    </row>
    <row r="56" spans="1:20" x14ac:dyDescent="0.15">
      <c r="A56" s="8" t="s">
        <v>1</v>
      </c>
      <c r="B56" s="8" t="s">
        <v>2</v>
      </c>
      <c r="C56" s="4" t="s">
        <v>6</v>
      </c>
      <c r="D56" s="4" t="s">
        <v>7</v>
      </c>
      <c r="E56" s="4" t="s">
        <v>8</v>
      </c>
      <c r="F56" s="4" t="s">
        <v>9</v>
      </c>
      <c r="G56" s="4"/>
      <c r="I56"/>
      <c r="J56"/>
      <c r="S56"/>
      <c r="T56"/>
    </row>
    <row r="57" spans="1:20" x14ac:dyDescent="0.15">
      <c r="A57" s="11" t="s">
        <v>3</v>
      </c>
      <c r="B57" s="8">
        <v>6700</v>
      </c>
      <c r="C57" s="8">
        <v>700</v>
      </c>
      <c r="D57" s="8">
        <v>1400</v>
      </c>
      <c r="E57" s="8">
        <v>2100</v>
      </c>
      <c r="F57" s="8">
        <v>2100</v>
      </c>
      <c r="G57" s="4"/>
      <c r="I57"/>
      <c r="J57"/>
      <c r="S57"/>
      <c r="T57"/>
    </row>
    <row r="58" spans="1:20" x14ac:dyDescent="0.15">
      <c r="A58" s="12"/>
      <c r="B58" s="12"/>
      <c r="H58" s="4"/>
      <c r="I58"/>
      <c r="J58"/>
      <c r="S58"/>
      <c r="T58"/>
    </row>
    <row r="59" spans="1:20" x14ac:dyDescent="0.15">
      <c r="A59" s="12"/>
      <c r="B59" s="12"/>
      <c r="H59" s="4"/>
      <c r="I59"/>
      <c r="J59"/>
      <c r="S59"/>
      <c r="T59"/>
    </row>
    <row r="60" spans="1:20" x14ac:dyDescent="0.15">
      <c r="A60" s="12"/>
      <c r="B60" s="12"/>
      <c r="I60"/>
      <c r="J60"/>
      <c r="S60"/>
      <c r="T60"/>
    </row>
    <row r="61" spans="1:20" x14ac:dyDescent="0.15">
      <c r="I61"/>
      <c r="J61"/>
      <c r="S61"/>
      <c r="T61"/>
    </row>
    <row r="62" spans="1:20" x14ac:dyDescent="0.15">
      <c r="A62" s="8" t="s">
        <v>4</v>
      </c>
      <c r="B62" s="8"/>
      <c r="C62" s="8"/>
      <c r="D62" s="8"/>
      <c r="E62" s="8"/>
      <c r="F62" s="8"/>
      <c r="I62"/>
      <c r="J62"/>
      <c r="S62"/>
      <c r="T62"/>
    </row>
    <row r="63" spans="1:20" x14ac:dyDescent="0.15">
      <c r="A63" s="8" t="s">
        <v>1</v>
      </c>
      <c r="B63" s="8" t="s">
        <v>2</v>
      </c>
      <c r="C63" s="4" t="s">
        <v>6</v>
      </c>
      <c r="D63" s="4" t="s">
        <v>7</v>
      </c>
      <c r="E63" s="4" t="s">
        <v>8</v>
      </c>
      <c r="F63" s="4" t="s">
        <v>9</v>
      </c>
      <c r="I63"/>
      <c r="J63"/>
      <c r="S63"/>
      <c r="T63"/>
    </row>
    <row r="64" spans="1:20" x14ac:dyDescent="0.15">
      <c r="A64" s="11" t="s">
        <v>3</v>
      </c>
      <c r="B64" s="8">
        <v>2500</v>
      </c>
      <c r="C64" s="8">
        <v>233</v>
      </c>
      <c r="D64" s="8">
        <v>1400</v>
      </c>
      <c r="E64" s="8">
        <v>700</v>
      </c>
      <c r="F64" s="8">
        <v>700</v>
      </c>
      <c r="I64"/>
      <c r="J64"/>
      <c r="S64"/>
      <c r="T64"/>
    </row>
    <row r="65" spans="9:20" x14ac:dyDescent="0.15">
      <c r="I65"/>
      <c r="J65"/>
      <c r="P65" s="4"/>
      <c r="Q65" s="4"/>
      <c r="S65"/>
      <c r="T65"/>
    </row>
  </sheetData>
  <phoneticPr fontId="3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3E58B-F2CA-4255-AE0A-CA0B2C153F01}">
  <sheetPr codeName="Sheet6"/>
  <dimension ref="A1:F18"/>
  <sheetViews>
    <sheetView workbookViewId="0">
      <selection activeCell="F10" sqref="F10"/>
    </sheetView>
  </sheetViews>
  <sheetFormatPr defaultRowHeight="13.5" x14ac:dyDescent="0.15"/>
  <cols>
    <col min="1" max="1" width="16.625" customWidth="1"/>
    <col min="2" max="2" width="16.125" customWidth="1"/>
    <col min="3" max="3" width="16.375" customWidth="1"/>
    <col min="4" max="4" width="16.5" customWidth="1"/>
    <col min="5" max="5" width="16.75" customWidth="1"/>
    <col min="6" max="6" width="13.75" customWidth="1"/>
    <col min="9" max="9" width="12.75" bestFit="1" customWidth="1"/>
  </cols>
  <sheetData>
    <row r="1" spans="1:6" x14ac:dyDescent="0.15">
      <c r="A1" t="s">
        <v>81</v>
      </c>
      <c r="B1" t="s">
        <v>82</v>
      </c>
      <c r="C1" t="s">
        <v>83</v>
      </c>
    </row>
    <row r="2" spans="1:6" s="20" customFormat="1" x14ac:dyDescent="0.15">
      <c r="A2" s="20">
        <v>6412.8537068922833</v>
      </c>
      <c r="B2" s="20">
        <v>4332.2482587146969</v>
      </c>
      <c r="C2" s="20">
        <v>0</v>
      </c>
    </row>
    <row r="3" spans="1:6" x14ac:dyDescent="0.15">
      <c r="A3" t="s">
        <v>84</v>
      </c>
      <c r="B3" t="s">
        <v>85</v>
      </c>
      <c r="C3" t="s">
        <v>86</v>
      </c>
      <c r="D3" t="s">
        <v>87</v>
      </c>
      <c r="E3" t="s">
        <v>88</v>
      </c>
    </row>
    <row r="4" spans="1:6" s="20" customFormat="1" x14ac:dyDescent="0.15">
      <c r="A4" s="20">
        <v>73.730859569577902</v>
      </c>
      <c r="B4" s="20">
        <v>51.965391388658077</v>
      </c>
      <c r="C4" s="20">
        <v>21.765468180919825</v>
      </c>
      <c r="D4" s="20">
        <v>13.421762892021611</v>
      </c>
      <c r="E4" s="20">
        <v>60.309096677556312</v>
      </c>
    </row>
    <row r="5" spans="1:6" s="21" customFormat="1" x14ac:dyDescent="0.15">
      <c r="A5" s="21">
        <v>1.7019075354525636E-2</v>
      </c>
      <c r="B5" s="21">
        <v>1.1995016971644028E-2</v>
      </c>
      <c r="C5" s="21">
        <v>5.0240583828816089E-3</v>
      </c>
      <c r="D5" s="21">
        <v>3.0981056695037175E-3</v>
      </c>
      <c r="E5" s="21">
        <v>1.3920969685021923E-2</v>
      </c>
    </row>
    <row r="7" spans="1:6" x14ac:dyDescent="0.15">
      <c r="A7" t="s">
        <v>96</v>
      </c>
      <c r="B7" t="s">
        <v>97</v>
      </c>
      <c r="C7" t="s">
        <v>98</v>
      </c>
      <c r="D7" t="s">
        <v>84</v>
      </c>
    </row>
    <row r="8" spans="1:6" x14ac:dyDescent="0.15">
      <c r="A8" t="s">
        <v>89</v>
      </c>
      <c r="B8" s="20" t="s">
        <v>99</v>
      </c>
      <c r="C8" t="s">
        <v>100</v>
      </c>
      <c r="D8" s="20">
        <v>6.5735720813497256</v>
      </c>
    </row>
    <row r="9" spans="1:6" x14ac:dyDescent="0.15">
      <c r="A9" t="s">
        <v>90</v>
      </c>
      <c r="B9" s="20" t="s">
        <v>100</v>
      </c>
      <c r="C9" t="s">
        <v>101</v>
      </c>
      <c r="D9" s="20">
        <v>4.6748737425108278</v>
      </c>
    </row>
    <row r="10" spans="1:6" x14ac:dyDescent="0.15">
      <c r="A10" t="s">
        <v>91</v>
      </c>
      <c r="B10" s="20" t="s">
        <v>101</v>
      </c>
      <c r="C10" t="s">
        <v>102</v>
      </c>
      <c r="D10" s="20">
        <v>0.31704263865902971</v>
      </c>
    </row>
    <row r="11" spans="1:6" x14ac:dyDescent="0.15">
      <c r="A11" t="s">
        <v>92</v>
      </c>
      <c r="B11" s="20" t="s">
        <v>101</v>
      </c>
      <c r="C11" t="s">
        <v>103</v>
      </c>
      <c r="D11" s="20">
        <v>1.2260473067491908</v>
      </c>
    </row>
    <row r="12" spans="1:6" x14ac:dyDescent="0.15">
      <c r="A12" t="s">
        <v>93</v>
      </c>
      <c r="B12" s="20" t="s">
        <v>103</v>
      </c>
      <c r="C12" t="s">
        <v>104</v>
      </c>
      <c r="D12" s="20">
        <v>0.63022712275283976</v>
      </c>
    </row>
    <row r="14" spans="1:6" x14ac:dyDescent="0.15">
      <c r="A14" t="s">
        <v>109</v>
      </c>
      <c r="B14" s="20" t="s">
        <v>105</v>
      </c>
      <c r="C14" s="20" t="s">
        <v>106</v>
      </c>
      <c r="D14" s="20" t="s">
        <v>84</v>
      </c>
      <c r="E14" t="s">
        <v>86</v>
      </c>
      <c r="F14" t="s">
        <v>85</v>
      </c>
    </row>
    <row r="15" spans="1:6" x14ac:dyDescent="0.15">
      <c r="A15" t="s">
        <v>94</v>
      </c>
      <c r="B15" s="20" t="s">
        <v>100</v>
      </c>
      <c r="C15" s="20" t="s">
        <v>107</v>
      </c>
      <c r="D15" s="20">
        <v>10.738693568835098</v>
      </c>
      <c r="E15" s="20">
        <v>4.0571873407906658</v>
      </c>
      <c r="F15" s="20">
        <v>6.6815062280444319</v>
      </c>
    </row>
    <row r="16" spans="1:6" x14ac:dyDescent="0.15">
      <c r="A16" t="s">
        <v>110</v>
      </c>
      <c r="B16" s="20" t="s">
        <v>104</v>
      </c>
      <c r="C16" s="20" t="s">
        <v>111</v>
      </c>
      <c r="D16" s="20">
        <v>31.201420710844538</v>
      </c>
      <c r="E16" s="20">
        <v>11.423327929522207</v>
      </c>
      <c r="F16" s="20">
        <v>19.778092781322329</v>
      </c>
    </row>
    <row r="17" spans="1:6" x14ac:dyDescent="0.15">
      <c r="A17" t="s">
        <v>95</v>
      </c>
      <c r="B17" s="20" t="s">
        <v>102</v>
      </c>
      <c r="C17" s="20" t="s">
        <v>108</v>
      </c>
      <c r="D17" s="20">
        <v>18.36898239787666</v>
      </c>
      <c r="E17" s="20">
        <v>6.9055481386193147</v>
      </c>
      <c r="F17" s="20">
        <v>11.463434259257346</v>
      </c>
    </row>
    <row r="18" spans="1:6" x14ac:dyDescent="0.15">
      <c r="D18" s="20"/>
      <c r="E18" s="20"/>
      <c r="F18" s="20"/>
    </row>
  </sheetData>
  <phoneticPr fontId="1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W13"/>
  <sheetViews>
    <sheetView workbookViewId="0">
      <selection activeCell="D43" sqref="D43"/>
    </sheetView>
  </sheetViews>
  <sheetFormatPr defaultRowHeight="13.5" x14ac:dyDescent="0.15"/>
  <cols>
    <col min="1" max="1" width="13.125" style="15" bestFit="1" customWidth="1"/>
    <col min="2" max="2" width="9" style="15" customWidth="1"/>
    <col min="3" max="3" width="15.375" style="15" bestFit="1" customWidth="1"/>
    <col min="4" max="4" width="19.375" style="15" bestFit="1" customWidth="1"/>
    <col min="5" max="6" width="11" style="15" bestFit="1" customWidth="1"/>
    <col min="7" max="7" width="13" style="15" bestFit="1" customWidth="1"/>
    <col min="8" max="8" width="19.25" style="15" bestFit="1" customWidth="1"/>
    <col min="9" max="9" width="17.25" style="15" bestFit="1" customWidth="1"/>
    <col min="10" max="23" width="9" style="15" customWidth="1"/>
  </cols>
  <sheetData>
    <row r="1" spans="1:9" x14ac:dyDescent="0.15">
      <c r="A1" s="15" t="s">
        <v>10</v>
      </c>
      <c r="B1" s="15" t="s">
        <v>11</v>
      </c>
      <c r="C1" s="15" t="s">
        <v>12</v>
      </c>
      <c r="D1" s="15" t="s">
        <v>13</v>
      </c>
      <c r="E1" s="15" t="s">
        <v>14</v>
      </c>
      <c r="F1" s="15" t="s">
        <v>15</v>
      </c>
      <c r="G1" s="15" t="s">
        <v>16</v>
      </c>
    </row>
    <row r="2" spans="1:9" x14ac:dyDescent="0.15">
      <c r="A2" s="15" t="s">
        <v>17</v>
      </c>
      <c r="B2" s="15">
        <v>1</v>
      </c>
      <c r="C2" s="15" t="s">
        <v>18</v>
      </c>
      <c r="D2" s="15" t="s">
        <v>19</v>
      </c>
      <c r="E2" s="15">
        <v>7.2385000000000002</v>
      </c>
      <c r="F2" s="15">
        <v>0</v>
      </c>
      <c r="G2" s="15">
        <v>7.2385000000000002</v>
      </c>
    </row>
    <row r="3" spans="1:9" x14ac:dyDescent="0.15">
      <c r="A3" s="15" t="s">
        <v>20</v>
      </c>
      <c r="B3" s="15">
        <v>1</v>
      </c>
      <c r="C3" s="15" t="s">
        <v>19</v>
      </c>
      <c r="D3" s="15" t="s">
        <v>21</v>
      </c>
      <c r="E3" s="15">
        <v>5.0044000000000004</v>
      </c>
      <c r="F3" s="15">
        <v>0</v>
      </c>
      <c r="G3" s="15">
        <v>5.0044000000000004</v>
      </c>
    </row>
    <row r="4" spans="1:9" x14ac:dyDescent="0.15">
      <c r="A4" s="15" t="s">
        <v>22</v>
      </c>
      <c r="B4" s="15">
        <v>1</v>
      </c>
      <c r="C4" s="15" t="s">
        <v>21</v>
      </c>
      <c r="D4" s="15" t="s">
        <v>23</v>
      </c>
      <c r="E4" s="15">
        <v>1.0053000000000001</v>
      </c>
      <c r="F4" s="15">
        <v>0</v>
      </c>
      <c r="G4" s="15">
        <v>1.0053000000000001</v>
      </c>
    </row>
    <row r="5" spans="1:9" x14ac:dyDescent="0.15">
      <c r="A5" s="15" t="s">
        <v>24</v>
      </c>
      <c r="B5" s="15">
        <v>1</v>
      </c>
      <c r="C5" s="15" t="s">
        <v>21</v>
      </c>
      <c r="D5" s="15" t="s">
        <v>25</v>
      </c>
      <c r="E5" s="15">
        <v>0.83779000000000003</v>
      </c>
      <c r="F5" s="15">
        <v>0</v>
      </c>
      <c r="G5" s="15">
        <v>0.83779000000000003</v>
      </c>
    </row>
    <row r="6" spans="1:9" x14ac:dyDescent="0.15">
      <c r="A6" s="15" t="s">
        <v>26</v>
      </c>
      <c r="B6" s="15">
        <v>1</v>
      </c>
      <c r="C6" s="15" t="s">
        <v>25</v>
      </c>
      <c r="D6" s="15" t="s">
        <v>27</v>
      </c>
      <c r="E6" s="15">
        <v>0.50266999999999995</v>
      </c>
      <c r="F6" s="15">
        <v>0</v>
      </c>
      <c r="G6" s="15">
        <v>0.50266999999999995</v>
      </c>
    </row>
    <row r="7" spans="1:9" x14ac:dyDescent="0.15">
      <c r="A7" s="15" t="s">
        <v>28</v>
      </c>
      <c r="B7" s="15">
        <v>2</v>
      </c>
      <c r="C7" s="15" t="s">
        <v>23</v>
      </c>
      <c r="D7" s="15" t="s">
        <v>29</v>
      </c>
      <c r="E7" s="15">
        <v>36.945999999999998</v>
      </c>
      <c r="F7" s="15">
        <v>6.96</v>
      </c>
      <c r="G7" s="15">
        <v>43.905999999999999</v>
      </c>
    </row>
    <row r="8" spans="1:9" x14ac:dyDescent="0.15">
      <c r="A8" s="15" t="s">
        <v>30</v>
      </c>
      <c r="B8" s="15">
        <v>2</v>
      </c>
      <c r="C8" s="15" t="s">
        <v>27</v>
      </c>
      <c r="D8" s="15" t="s">
        <v>31</v>
      </c>
      <c r="E8" s="15">
        <v>16.010000000000002</v>
      </c>
      <c r="F8" s="15">
        <v>11.52</v>
      </c>
      <c r="G8" s="15">
        <v>27.53</v>
      </c>
    </row>
    <row r="9" spans="1:9" x14ac:dyDescent="0.15">
      <c r="A9" s="15" t="s">
        <v>32</v>
      </c>
      <c r="B9" s="15">
        <v>2</v>
      </c>
      <c r="C9" s="15" t="s">
        <v>25</v>
      </c>
      <c r="D9" s="15" t="s">
        <v>33</v>
      </c>
      <c r="E9" s="15">
        <v>9.4077000000000002</v>
      </c>
      <c r="F9" s="15">
        <v>9.6</v>
      </c>
      <c r="G9" s="15">
        <v>19.007999999999999</v>
      </c>
    </row>
    <row r="10" spans="1:9" x14ac:dyDescent="0.15">
      <c r="A10" s="15" t="s">
        <v>34</v>
      </c>
      <c r="B10" s="15">
        <v>2</v>
      </c>
      <c r="C10" s="15" t="s">
        <v>19</v>
      </c>
      <c r="D10" s="15" t="s">
        <v>35</v>
      </c>
      <c r="E10" s="15">
        <v>9.5239999999999991</v>
      </c>
      <c r="F10" s="15">
        <v>4.08</v>
      </c>
      <c r="G10" s="15">
        <v>13.603999999999999</v>
      </c>
    </row>
    <row r="12" spans="1:9" x14ac:dyDescent="0.15">
      <c r="A12" s="15" t="s">
        <v>36</v>
      </c>
      <c r="B12" s="15" t="s">
        <v>37</v>
      </c>
      <c r="C12" s="15" t="s">
        <v>38</v>
      </c>
      <c r="D12" s="15" t="s">
        <v>39</v>
      </c>
      <c r="E12" s="15" t="s">
        <v>40</v>
      </c>
      <c r="F12" s="15" t="s">
        <v>41</v>
      </c>
      <c r="G12" s="15" t="s">
        <v>42</v>
      </c>
      <c r="H12" s="15" t="s">
        <v>43</v>
      </c>
      <c r="I12" s="15" t="s">
        <v>44</v>
      </c>
    </row>
    <row r="13" spans="1:9" x14ac:dyDescent="0.15">
      <c r="A13" s="15">
        <v>10.483000000000001</v>
      </c>
      <c r="B13" s="15">
        <v>16.41</v>
      </c>
      <c r="C13" s="15">
        <v>14.589</v>
      </c>
      <c r="D13" s="15">
        <v>71.888000000000005</v>
      </c>
      <c r="E13" s="15">
        <v>32.159999999999997</v>
      </c>
      <c r="F13" s="15">
        <v>118.64</v>
      </c>
      <c r="G13" s="15">
        <v>0.72555999999999998</v>
      </c>
      <c r="H13" s="15">
        <v>3.5752999999999999</v>
      </c>
      <c r="I13" s="15">
        <v>4.3009000000000004</v>
      </c>
    </row>
  </sheetData>
  <phoneticPr fontId="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12</vt:i4>
      </vt:variant>
    </vt:vector>
  </HeadingPairs>
  <TitlesOfParts>
    <vt:vector size="20" baseType="lpstr">
      <vt:lpstr>主页</vt:lpstr>
      <vt:lpstr>OpenDSS规则库</vt:lpstr>
      <vt:lpstr>参数库</vt:lpstr>
      <vt:lpstr>配电线路</vt:lpstr>
      <vt:lpstr>运行数据</vt:lpstr>
      <vt:lpstr>曲线</vt:lpstr>
      <vt:lpstr>计算结果</vt:lpstr>
      <vt:lpstr>Sheet6</vt:lpstr>
      <vt:lpstr>配电变压器数据表关键字</vt:lpstr>
      <vt:lpstr>配电变压器数据页名称</vt:lpstr>
      <vt:lpstr>配电变压器所需参数</vt:lpstr>
      <vt:lpstr>配电线路数据表关键字</vt:lpstr>
      <vt:lpstr>配电线路数据页名称</vt:lpstr>
      <vt:lpstr>配电线路所需参数</vt:lpstr>
      <vt:lpstr>平衡节点数据表关键字</vt:lpstr>
      <vt:lpstr>平衡节点数据页名称</vt:lpstr>
      <vt:lpstr>平衡节点所需参数</vt:lpstr>
      <vt:lpstr>线路型号数据表关键字</vt:lpstr>
      <vt:lpstr>线路型号数据页名称</vt:lpstr>
      <vt:lpstr>线路型号所需参数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孙旻</dc:creator>
  <cp:lastModifiedBy>zysyw</cp:lastModifiedBy>
  <dcterms:created xsi:type="dcterms:W3CDTF">2015-03-07T06:30:29Z</dcterms:created>
  <dcterms:modified xsi:type="dcterms:W3CDTF">2023-12-30T01:09:37Z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6bbdcda2-5977-4551-ae25-b01af911990b</vt:lpwstr>
  </property>
</Properties>
</file>